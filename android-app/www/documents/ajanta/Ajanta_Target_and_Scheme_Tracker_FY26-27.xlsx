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arget Tracker" sheetId="1" state="visible" r:id="rId1"/>
    <sheet xmlns:r="http://schemas.openxmlformats.org/officeDocument/2006/relationships" name="Quarterly &amp; Annual (QTB-ATB)" sheetId="2" state="visible" r:id="rId2"/>
    <sheet xmlns:r="http://schemas.openxmlformats.org/officeDocument/2006/relationships" name="Inward Bill Quick-Log" sheetId="3" state="visible" r:id="rId3"/>
    <sheet xmlns:r="http://schemas.openxmlformats.org/officeDocument/2006/relationships" name="Ajanta Credit Note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9.5"/>
    </font>
    <font>
      <name val="Calibri"/>
      <color rgb="001E293B"/>
      <sz val="9.5"/>
    </font>
    <font>
      <name val="Calibri"/>
      <b val="1"/>
      <color rgb="00047857"/>
      <sz val="9.5"/>
    </font>
    <font>
      <name val="Calibri"/>
      <b val="1"/>
      <color rgb="001E293B"/>
      <sz val="9.5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pivotButton="0" quotePrefix="0" xfId="0"/>
    <xf numFmtId="165" fontId="4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pivotButton="0" quotePrefix="0" xfId="0"/>
    <xf numFmtId="165" fontId="4" fillId="0" borderId="1" pivotButton="0" quotePrefix="0" xfId="0"/>
    <xf numFmtId="0" fontId="6" fillId="6" borderId="2" applyAlignment="1" pivotButton="0" quotePrefix="0" xfId="0">
      <alignment horizontal="center" vertical="center"/>
    </xf>
    <xf numFmtId="164" fontId="6" fillId="6" borderId="2" pivotButton="0" quotePrefix="0" xfId="0"/>
    <xf numFmtId="165" fontId="6" fillId="6" borderId="2" pivotButton="0" quotePrefix="0" xfId="0"/>
    <xf numFmtId="0" fontId="4" fillId="4" borderId="1" applyAlignment="1" pivotButton="0" quotePrefix="0" xfId="0">
      <alignment horizontal="left" vertical="center"/>
    </xf>
    <xf numFmtId="10" fontId="4" fillId="4" borderId="1" pivotButton="0" quotePrefix="0" xfId="0"/>
    <xf numFmtId="0" fontId="4" fillId="0" borderId="1" applyAlignment="1" pivotButton="0" quotePrefix="0" xfId="0">
      <alignment horizontal="left" vertical="center"/>
    </xf>
    <xf numFmtId="10" fontId="4" fillId="0" borderId="1" pivotButton="0" quotePrefix="0" xfId="0"/>
    <xf numFmtId="0" fontId="6" fillId="6" borderId="2" applyAlignment="1" pivotButton="0" quotePrefix="0" xfId="0">
      <alignment horizontal="left" vertical="center"/>
    </xf>
    <xf numFmtId="0" fontId="7" fillId="3" borderId="0" pivotButton="0" quotePrefix="0" xfId="0"/>
    <xf numFmtId="0" fontId="6" fillId="0" borderId="1" pivotButton="0" quotePrefix="0" xfId="0"/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4" borderId="1" pivotButton="0" quotePrefix="0" xfId="0"/>
    <xf numFmtId="0" fontId="4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6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20" customWidth="1" min="4" max="4"/>
    <col width="14" customWidth="1" min="5" max="5"/>
    <col width="14" customWidth="1" min="6" max="6"/>
    <col width="19" customWidth="1" min="7" max="7"/>
    <col width="18" customWidth="1" min="8" max="8"/>
    <col width="20" customWidth="1" min="9" max="9"/>
    <col width="22" customWidth="1" min="10" max="10"/>
    <col width="20" customWidth="1" min="11" max="11"/>
    <col width="18" customWidth="1" min="12" max="12"/>
    <col width="22" customWidth="1" min="13" max="13"/>
    <col width="20" customWidth="1" min="14" max="14"/>
    <col width="20" customWidth="1" min="15" max="15"/>
  </cols>
  <sheetData>
    <row r="1" ht="28" customHeight="1">
      <c r="A1" s="1" t="inlineStr">
        <is>
          <t>SKIL LIFESTYLE LLP — AJANTA SHOES TARGET &amp; INCENTIVE TRACKER (FY 2026–27)</t>
        </is>
      </c>
    </row>
    <row r="2" ht="18" customHeight="1">
      <c r="A2" s="2" t="inlineStr">
        <is>
          <t>Annual Target: Rs 1.20 Crore (Basic) | Monthly Target: Rs 10.00 Lakhs (Basic) | Agreement Period: Aug 2026 to Jul 2027</t>
        </is>
      </c>
    </row>
    <row r="4" ht="28" customHeight="1">
      <c r="A4" s="3" t="inlineStr">
        <is>
          <t>Month</t>
        </is>
      </c>
      <c r="B4" s="3" t="inlineStr">
        <is>
          <t>Quarter</t>
        </is>
      </c>
      <c r="C4" s="3" t="inlineStr">
        <is>
          <t>Monthly Target (Rs)</t>
        </is>
      </c>
      <c r="D4" s="3" t="inlineStr">
        <is>
          <t>Actual Inward Basic (Rs)</t>
        </is>
      </c>
      <c r="E4" s="3" t="inlineStr">
        <is>
          <t>Achievement %</t>
        </is>
      </c>
      <c r="F4" s="3" t="inlineStr">
        <is>
          <t>Target Status</t>
        </is>
      </c>
      <c r="G4" s="3" t="inlineStr">
        <is>
          <t>Monthly Bonus 3% (Rs)</t>
        </is>
      </c>
      <c r="H4" s="3" t="inlineStr">
        <is>
          <t>Cash Discount 3% (Rs)</t>
        </is>
      </c>
      <c r="I4" s="3" t="inlineStr">
        <is>
          <t>Retail Scheme 3.78% (Rs)</t>
        </is>
      </c>
      <c r="J4" s="3" t="inlineStr">
        <is>
          <t>Special / Promo Schemes (Rs)</t>
        </is>
      </c>
      <c r="K4" s="3" t="inlineStr">
        <is>
          <t>Total Entitled Basic (Rs)</t>
        </is>
      </c>
      <c r="L4" s="3" t="inlineStr">
        <is>
          <t>IGST 5% on Credit Note (Rs)</t>
        </is>
      </c>
      <c r="M4" s="3" t="inlineStr">
        <is>
          <t>Gross Credit Note Entitled (Rs)</t>
        </is>
      </c>
      <c r="N4" s="3" t="inlineStr">
        <is>
          <t>Credit Note Received (Rs)</t>
        </is>
      </c>
      <c r="O4" s="3" t="inlineStr">
        <is>
          <t>Pending Claim / Variance (Rs)</t>
        </is>
      </c>
    </row>
    <row r="5" ht="20" customHeight="1">
      <c r="A5" s="4" t="inlineStr">
        <is>
          <t>Aug-2026</t>
        </is>
      </c>
      <c r="B5" s="4" t="inlineStr">
        <is>
          <t>Q2</t>
        </is>
      </c>
      <c r="C5" s="5" t="n">
        <v>1000000</v>
      </c>
      <c r="D5" s="5">
        <f>SUMIFS('Inward Bill Quick-Log'!G:G, 'Inward Bill Quick-Log'!E:E, "Aug-2026", 'Inward Bill Quick-Log'!C:C, "*Ajanta*")</f>
        <v/>
      </c>
      <c r="E5" s="6">
        <f>IF(C5&gt;0, D5/C5, 0)</f>
        <v/>
      </c>
      <c r="F5" s="7">
        <f>IF(D5=0, "Not Started", IF(E5&gt;=0.99, "Target Met", "Shortfall"))</f>
        <v/>
      </c>
      <c r="G5" s="5">
        <f>IF(E5&gt;=0.99, D5*0.03, 0)</f>
        <v/>
      </c>
      <c r="H5" s="5">
        <f>D5*0.03</f>
        <v/>
      </c>
      <c r="I5" s="5">
        <f>D5*0.0378</f>
        <v/>
      </c>
      <c r="J5" s="5" t="n">
        <v>28500.95</v>
      </c>
      <c r="K5" s="5">
        <f>G5+H5+I5+J5</f>
        <v/>
      </c>
      <c r="L5" s="5">
        <f>K5*0.05</f>
        <v/>
      </c>
      <c r="M5" s="5">
        <f>K5+L5</f>
        <v/>
      </c>
      <c r="N5" s="5">
        <f>SUMIFS('Ajanta Credit Notes Log'!G:G, 'Ajanta Credit Notes Log'!B:B, "Aug-2026")</f>
        <v/>
      </c>
      <c r="O5" s="5">
        <f>M5-N5</f>
        <v/>
      </c>
    </row>
    <row r="6" ht="20" customHeight="1">
      <c r="A6" s="8" t="inlineStr">
        <is>
          <t>Sep-2026</t>
        </is>
      </c>
      <c r="B6" s="8" t="inlineStr">
        <is>
          <t>Q2</t>
        </is>
      </c>
      <c r="C6" s="9" t="n">
        <v>1000000</v>
      </c>
      <c r="D6" s="9">
        <f>SUMIFS('Inward Bill Quick-Log'!G:G, 'Inward Bill Quick-Log'!E:E, "Sep-2026", 'Inward Bill Quick-Log'!C:C, "*Ajanta*")</f>
        <v/>
      </c>
      <c r="E6" s="10">
        <f>IF(C6&gt;0, D6/C6, 0)</f>
        <v/>
      </c>
      <c r="F6" s="7">
        <f>IF(D6=0, "Not Started", IF(E6&gt;=0.99, "Target Met", "Shortfall"))</f>
        <v/>
      </c>
      <c r="G6" s="9">
        <f>IF(E6&gt;=0.99, D6*0.03, 0)</f>
        <v/>
      </c>
      <c r="H6" s="9">
        <f>D6*0.03</f>
        <v/>
      </c>
      <c r="I6" s="9">
        <f>D6*0.0378</f>
        <v/>
      </c>
      <c r="J6" s="9" t="n">
        <v>26180</v>
      </c>
      <c r="K6" s="9">
        <f>G6+H6+I6+J6</f>
        <v/>
      </c>
      <c r="L6" s="9">
        <f>K6*0.05</f>
        <v/>
      </c>
      <c r="M6" s="9">
        <f>K6+L6</f>
        <v/>
      </c>
      <c r="N6" s="9">
        <f>SUMIFS('Ajanta Credit Notes Log'!G:G, 'Ajanta Credit Notes Log'!B:B, "Sep-2026")</f>
        <v/>
      </c>
      <c r="O6" s="9">
        <f>M6-N6</f>
        <v/>
      </c>
    </row>
    <row r="7" ht="20" customHeight="1">
      <c r="A7" s="4" t="inlineStr">
        <is>
          <t>Oct-2026</t>
        </is>
      </c>
      <c r="B7" s="4" t="inlineStr">
        <is>
          <t>Q3</t>
        </is>
      </c>
      <c r="C7" s="5" t="n">
        <v>1000000</v>
      </c>
      <c r="D7" s="5">
        <f>SUMIFS('Inward Bill Quick-Log'!G:G, 'Inward Bill Quick-Log'!E:E, "Oct-2026", 'Inward Bill Quick-Log'!C:C, "*Ajanta*")</f>
        <v/>
      </c>
      <c r="E7" s="6">
        <f>IF(C7&gt;0, D7/C7, 0)</f>
        <v/>
      </c>
      <c r="F7" s="4">
        <f>IF(D7=0, "Not Started", IF(E7&gt;=0.99, "Target Met", "Shortfall"))</f>
        <v/>
      </c>
      <c r="G7" s="5">
        <f>IF(E7&gt;=0.99, D7*0.03, 0)</f>
        <v/>
      </c>
      <c r="H7" s="5">
        <f>D7*0.03</f>
        <v/>
      </c>
      <c r="I7" s="5">
        <f>D7*0.0378</f>
        <v/>
      </c>
      <c r="J7" s="5" t="n">
        <v>0</v>
      </c>
      <c r="K7" s="5">
        <f>G7+H7+I7+J7</f>
        <v/>
      </c>
      <c r="L7" s="5">
        <f>K7*0.05</f>
        <v/>
      </c>
      <c r="M7" s="5">
        <f>K7+L7</f>
        <v/>
      </c>
      <c r="N7" s="5">
        <f>SUMIFS('Ajanta Credit Notes Log'!G:G, 'Ajanta Credit Notes Log'!B:B, "Oct-2026")</f>
        <v/>
      </c>
      <c r="O7" s="5">
        <f>M7-N7</f>
        <v/>
      </c>
    </row>
    <row r="8" ht="20" customHeight="1">
      <c r="A8" s="8" t="inlineStr">
        <is>
          <t>Nov-2026</t>
        </is>
      </c>
      <c r="B8" s="8" t="inlineStr">
        <is>
          <t>Q3</t>
        </is>
      </c>
      <c r="C8" s="9" t="n">
        <v>1000000</v>
      </c>
      <c r="D8" s="9">
        <f>SUMIFS('Inward Bill Quick-Log'!G:G, 'Inward Bill Quick-Log'!E:E, "Nov-2026", 'Inward Bill Quick-Log'!C:C, "*Ajanta*")</f>
        <v/>
      </c>
      <c r="E8" s="10">
        <f>IF(C8&gt;0, D8/C8, 0)</f>
        <v/>
      </c>
      <c r="F8" s="8">
        <f>IF(D8=0, "Not Started", IF(E8&gt;=0.99, "Target Met", "Shortfall"))</f>
        <v/>
      </c>
      <c r="G8" s="9">
        <f>IF(E8&gt;=0.99, D8*0.03, 0)</f>
        <v/>
      </c>
      <c r="H8" s="9">
        <f>D8*0.03</f>
        <v/>
      </c>
      <c r="I8" s="9">
        <f>D8*0.0378</f>
        <v/>
      </c>
      <c r="J8" s="9" t="n">
        <v>0</v>
      </c>
      <c r="K8" s="9">
        <f>G8+H8+I8+J8</f>
        <v/>
      </c>
      <c r="L8" s="9">
        <f>K8*0.05</f>
        <v/>
      </c>
      <c r="M8" s="9">
        <f>K8+L8</f>
        <v/>
      </c>
      <c r="N8" s="9">
        <f>SUMIFS('Ajanta Credit Notes Log'!G:G, 'Ajanta Credit Notes Log'!B:B, "Nov-2026")</f>
        <v/>
      </c>
      <c r="O8" s="9">
        <f>M8-N8</f>
        <v/>
      </c>
    </row>
    <row r="9" ht="20" customHeight="1">
      <c r="A9" s="4" t="inlineStr">
        <is>
          <t>Dec-2026</t>
        </is>
      </c>
      <c r="B9" s="4" t="inlineStr">
        <is>
          <t>Q3</t>
        </is>
      </c>
      <c r="C9" s="5" t="n">
        <v>1000000</v>
      </c>
      <c r="D9" s="5">
        <f>SUMIFS('Inward Bill Quick-Log'!G:G, 'Inward Bill Quick-Log'!E:E, "Dec-2026", 'Inward Bill Quick-Log'!C:C, "*Ajanta*")</f>
        <v/>
      </c>
      <c r="E9" s="6">
        <f>IF(C9&gt;0, D9/C9, 0)</f>
        <v/>
      </c>
      <c r="F9" s="4">
        <f>IF(D9=0, "Not Started", IF(E9&gt;=0.99, "Target Met", "Shortfall"))</f>
        <v/>
      </c>
      <c r="G9" s="5">
        <f>IF(E9&gt;=0.99, D9*0.03, 0)</f>
        <v/>
      </c>
      <c r="H9" s="5">
        <f>D9*0.03</f>
        <v/>
      </c>
      <c r="I9" s="5">
        <f>D9*0.0378</f>
        <v/>
      </c>
      <c r="J9" s="5" t="n">
        <v>0</v>
      </c>
      <c r="K9" s="5">
        <f>G9+H9+I9+J9</f>
        <v/>
      </c>
      <c r="L9" s="5">
        <f>K9*0.05</f>
        <v/>
      </c>
      <c r="M9" s="5">
        <f>K9+L9</f>
        <v/>
      </c>
      <c r="N9" s="5">
        <f>SUMIFS('Ajanta Credit Notes Log'!G:G, 'Ajanta Credit Notes Log'!B:B, "Dec-2026")</f>
        <v/>
      </c>
      <c r="O9" s="5">
        <f>M9-N9</f>
        <v/>
      </c>
    </row>
    <row r="10" ht="20" customHeight="1">
      <c r="A10" s="8" t="inlineStr">
        <is>
          <t>Jan-2027</t>
        </is>
      </c>
      <c r="B10" s="8" t="inlineStr">
        <is>
          <t>Q4</t>
        </is>
      </c>
      <c r="C10" s="9" t="n">
        <v>1000000</v>
      </c>
      <c r="D10" s="9">
        <f>SUMIFS('Inward Bill Quick-Log'!G:G, 'Inward Bill Quick-Log'!E:E, "Jan-2027", 'Inward Bill Quick-Log'!C:C, "*Ajanta*")</f>
        <v/>
      </c>
      <c r="E10" s="10">
        <f>IF(C10&gt;0, D10/C10, 0)</f>
        <v/>
      </c>
      <c r="F10" s="8">
        <f>IF(D10=0, "Not Started", IF(E10&gt;=0.99, "Target Met", "Shortfall"))</f>
        <v/>
      </c>
      <c r="G10" s="9">
        <f>IF(E10&gt;=0.99, D10*0.03, 0)</f>
        <v/>
      </c>
      <c r="H10" s="9">
        <f>D10*0.03</f>
        <v/>
      </c>
      <c r="I10" s="9">
        <f>D10*0.0378</f>
        <v/>
      </c>
      <c r="J10" s="9" t="n">
        <v>0</v>
      </c>
      <c r="K10" s="9">
        <f>G10+H10+I10+J10</f>
        <v/>
      </c>
      <c r="L10" s="9">
        <f>K10*0.05</f>
        <v/>
      </c>
      <c r="M10" s="9">
        <f>K10+L10</f>
        <v/>
      </c>
      <c r="N10" s="9">
        <f>SUMIFS('Ajanta Credit Notes Log'!G:G, 'Ajanta Credit Notes Log'!B:B, "Jan-2027")</f>
        <v/>
      </c>
      <c r="O10" s="9">
        <f>M10-N10</f>
        <v/>
      </c>
    </row>
    <row r="11" ht="20" customHeight="1">
      <c r="A11" s="4" t="inlineStr">
        <is>
          <t>Feb-2027</t>
        </is>
      </c>
      <c r="B11" s="4" t="inlineStr">
        <is>
          <t>Q4</t>
        </is>
      </c>
      <c r="C11" s="5" t="n">
        <v>1000000</v>
      </c>
      <c r="D11" s="5">
        <f>SUMIFS('Inward Bill Quick-Log'!G:G, 'Inward Bill Quick-Log'!E:E, "Feb-2027", 'Inward Bill Quick-Log'!C:C, "*Ajanta*")</f>
        <v/>
      </c>
      <c r="E11" s="6">
        <f>IF(C11&gt;0, D11/C11, 0)</f>
        <v/>
      </c>
      <c r="F11" s="4">
        <f>IF(D11=0, "Not Started", IF(E11&gt;=0.99, "Target Met", "Shortfall"))</f>
        <v/>
      </c>
      <c r="G11" s="5">
        <f>IF(E11&gt;=0.99, D11*0.03, 0)</f>
        <v/>
      </c>
      <c r="H11" s="5">
        <f>D11*0.03</f>
        <v/>
      </c>
      <c r="I11" s="5">
        <f>D11*0.0378</f>
        <v/>
      </c>
      <c r="J11" s="5" t="n">
        <v>0</v>
      </c>
      <c r="K11" s="5">
        <f>G11+H11+I11+J11</f>
        <v/>
      </c>
      <c r="L11" s="5">
        <f>K11*0.05</f>
        <v/>
      </c>
      <c r="M11" s="5">
        <f>K11+L11</f>
        <v/>
      </c>
      <c r="N11" s="5">
        <f>SUMIFS('Ajanta Credit Notes Log'!G:G, 'Ajanta Credit Notes Log'!B:B, "Feb-2027")</f>
        <v/>
      </c>
      <c r="O11" s="5">
        <f>M11-N11</f>
        <v/>
      </c>
    </row>
    <row r="12" ht="20" customHeight="1">
      <c r="A12" s="8" t="inlineStr">
        <is>
          <t>Mar-2027</t>
        </is>
      </c>
      <c r="B12" s="8" t="inlineStr">
        <is>
          <t>Q4</t>
        </is>
      </c>
      <c r="C12" s="9" t="n">
        <v>1000000</v>
      </c>
      <c r="D12" s="9">
        <f>SUMIFS('Inward Bill Quick-Log'!G:G, 'Inward Bill Quick-Log'!E:E, "Mar-2027", 'Inward Bill Quick-Log'!C:C, "*Ajanta*")</f>
        <v/>
      </c>
      <c r="E12" s="10">
        <f>IF(C12&gt;0, D12/C12, 0)</f>
        <v/>
      </c>
      <c r="F12" s="8">
        <f>IF(D12=0, "Not Started", IF(E12&gt;=0.99, "Target Met", "Shortfall"))</f>
        <v/>
      </c>
      <c r="G12" s="9">
        <f>IF(E12&gt;=0.99, D12*0.03, 0)</f>
        <v/>
      </c>
      <c r="H12" s="9">
        <f>D12*0.03</f>
        <v/>
      </c>
      <c r="I12" s="9">
        <f>D12*0.0378</f>
        <v/>
      </c>
      <c r="J12" s="9" t="n">
        <v>0</v>
      </c>
      <c r="K12" s="9">
        <f>G12+H12+I12+J12</f>
        <v/>
      </c>
      <c r="L12" s="9">
        <f>K12*0.05</f>
        <v/>
      </c>
      <c r="M12" s="9">
        <f>K12+L12</f>
        <v/>
      </c>
      <c r="N12" s="9">
        <f>SUMIFS('Ajanta Credit Notes Log'!G:G, 'Ajanta Credit Notes Log'!B:B, "Mar-2027")</f>
        <v/>
      </c>
      <c r="O12" s="9">
        <f>M12-N12</f>
        <v/>
      </c>
    </row>
    <row r="13" ht="20" customHeight="1">
      <c r="A13" s="4" t="inlineStr">
        <is>
          <t>Apr-2027</t>
        </is>
      </c>
      <c r="B13" s="4" t="inlineStr">
        <is>
          <t>Q1</t>
        </is>
      </c>
      <c r="C13" s="5" t="n">
        <v>1000000</v>
      </c>
      <c r="D13" s="5">
        <f>SUMIFS('Inward Bill Quick-Log'!G:G, 'Inward Bill Quick-Log'!E:E, "Apr-2027", 'Inward Bill Quick-Log'!C:C, "*Ajanta*")</f>
        <v/>
      </c>
      <c r="E13" s="6">
        <f>IF(C13&gt;0, D13/C13, 0)</f>
        <v/>
      </c>
      <c r="F13" s="4">
        <f>IF(D13=0, "Not Started", IF(E13&gt;=0.99, "Target Met", "Shortfall"))</f>
        <v/>
      </c>
      <c r="G13" s="5">
        <f>IF(E13&gt;=0.99, D13*0.03, 0)</f>
        <v/>
      </c>
      <c r="H13" s="5">
        <f>D13*0.03</f>
        <v/>
      </c>
      <c r="I13" s="5">
        <f>D13*0.0378</f>
        <v/>
      </c>
      <c r="J13" s="5" t="n">
        <v>0</v>
      </c>
      <c r="K13" s="5">
        <f>G13+H13+I13+J13</f>
        <v/>
      </c>
      <c r="L13" s="5">
        <f>K13*0.05</f>
        <v/>
      </c>
      <c r="M13" s="5">
        <f>K13+L13</f>
        <v/>
      </c>
      <c r="N13" s="5">
        <f>SUMIFS('Ajanta Credit Notes Log'!G:G, 'Ajanta Credit Notes Log'!B:B, "Apr-2027")</f>
        <v/>
      </c>
      <c r="O13" s="5">
        <f>M13-N13</f>
        <v/>
      </c>
    </row>
    <row r="14" ht="20" customHeight="1">
      <c r="A14" s="8" t="inlineStr">
        <is>
          <t>May-2027</t>
        </is>
      </c>
      <c r="B14" s="8" t="inlineStr">
        <is>
          <t>Q1</t>
        </is>
      </c>
      <c r="C14" s="9" t="n">
        <v>1000000</v>
      </c>
      <c r="D14" s="9">
        <f>SUMIFS('Inward Bill Quick-Log'!G:G, 'Inward Bill Quick-Log'!E:E, "May-2027", 'Inward Bill Quick-Log'!C:C, "*Ajanta*")</f>
        <v/>
      </c>
      <c r="E14" s="10">
        <f>IF(C14&gt;0, D14/C14, 0)</f>
        <v/>
      </c>
      <c r="F14" s="8">
        <f>IF(D14=0, "Not Started", IF(E14&gt;=0.99, "Target Met", "Shortfall"))</f>
        <v/>
      </c>
      <c r="G14" s="9">
        <f>IF(E14&gt;=0.99, D14*0.03, 0)</f>
        <v/>
      </c>
      <c r="H14" s="9">
        <f>D14*0.03</f>
        <v/>
      </c>
      <c r="I14" s="9">
        <f>D14*0.0378</f>
        <v/>
      </c>
      <c r="J14" s="9" t="n">
        <v>0</v>
      </c>
      <c r="K14" s="9">
        <f>G14+H14+I14+J14</f>
        <v/>
      </c>
      <c r="L14" s="9">
        <f>K14*0.05</f>
        <v/>
      </c>
      <c r="M14" s="9">
        <f>K14+L14</f>
        <v/>
      </c>
      <c r="N14" s="9">
        <f>SUMIFS('Ajanta Credit Notes Log'!G:G, 'Ajanta Credit Notes Log'!B:B, "May-2027")</f>
        <v/>
      </c>
      <c r="O14" s="9">
        <f>M14-N14</f>
        <v/>
      </c>
    </row>
    <row r="15" ht="20" customHeight="1">
      <c r="A15" s="4" t="inlineStr">
        <is>
          <t>Jun-2027</t>
        </is>
      </c>
      <c r="B15" s="4" t="inlineStr">
        <is>
          <t>Q1</t>
        </is>
      </c>
      <c r="C15" s="5" t="n">
        <v>1000000</v>
      </c>
      <c r="D15" s="5">
        <f>SUMIFS('Inward Bill Quick-Log'!G:G, 'Inward Bill Quick-Log'!E:E, "Jun-2027", 'Inward Bill Quick-Log'!C:C, "*Ajanta*")</f>
        <v/>
      </c>
      <c r="E15" s="6">
        <f>IF(C15&gt;0, D15/C15, 0)</f>
        <v/>
      </c>
      <c r="F15" s="4">
        <f>IF(D15=0, "Not Started", IF(E15&gt;=0.99, "Target Met", "Shortfall"))</f>
        <v/>
      </c>
      <c r="G15" s="5">
        <f>IF(E15&gt;=0.99, D15*0.03, 0)</f>
        <v/>
      </c>
      <c r="H15" s="5">
        <f>D15*0.03</f>
        <v/>
      </c>
      <c r="I15" s="5">
        <f>D15*0.0378</f>
        <v/>
      </c>
      <c r="J15" s="5" t="n">
        <v>0</v>
      </c>
      <c r="K15" s="5">
        <f>G15+H15+I15+J15</f>
        <v/>
      </c>
      <c r="L15" s="5">
        <f>K15*0.05</f>
        <v/>
      </c>
      <c r="M15" s="5">
        <f>K15+L15</f>
        <v/>
      </c>
      <c r="N15" s="5">
        <f>SUMIFS('Ajanta Credit Notes Log'!G:G, 'Ajanta Credit Notes Log'!B:B, "Jun-2027")</f>
        <v/>
      </c>
      <c r="O15" s="5">
        <f>M15-N15</f>
        <v/>
      </c>
    </row>
    <row r="16" ht="20" customHeight="1">
      <c r="A16" s="8" t="inlineStr">
        <is>
          <t>Jul-2027</t>
        </is>
      </c>
      <c r="B16" s="8" t="inlineStr">
        <is>
          <t>Q1</t>
        </is>
      </c>
      <c r="C16" s="9" t="n">
        <v>1000000</v>
      </c>
      <c r="D16" s="9">
        <f>SUMIFS('Inward Bill Quick-Log'!G:G, 'Inward Bill Quick-Log'!E:E, "Jul-2027", 'Inward Bill Quick-Log'!C:C, "*Ajanta*")</f>
        <v/>
      </c>
      <c r="E16" s="10">
        <f>IF(C16&gt;0, D16/C16, 0)</f>
        <v/>
      </c>
      <c r="F16" s="8">
        <f>IF(D16=0, "Not Started", IF(E16&gt;=0.99, "Target Met", "Shortfall"))</f>
        <v/>
      </c>
      <c r="G16" s="9">
        <f>IF(E16&gt;=0.99, D16*0.03, 0)</f>
        <v/>
      </c>
      <c r="H16" s="9">
        <f>D16*0.03</f>
        <v/>
      </c>
      <c r="I16" s="9">
        <f>D16*0.0378</f>
        <v/>
      </c>
      <c r="J16" s="9" t="n">
        <v>0</v>
      </c>
      <c r="K16" s="9">
        <f>G16+H16+I16+J16</f>
        <v/>
      </c>
      <c r="L16" s="9">
        <f>K16*0.05</f>
        <v/>
      </c>
      <c r="M16" s="9">
        <f>K16+L16</f>
        <v/>
      </c>
      <c r="N16" s="9">
        <f>SUMIFS('Ajanta Credit Notes Log'!G:G, 'Ajanta Credit Notes Log'!B:B, "Jul-2027")</f>
        <v/>
      </c>
      <c r="O16" s="9">
        <f>M16-N16</f>
        <v/>
      </c>
    </row>
    <row r="17" ht="24" customHeight="1">
      <c r="A17" s="11" t="inlineStr">
        <is>
          <t>TOTAL / YTD</t>
        </is>
      </c>
      <c r="B17" s="11" t="inlineStr">
        <is>
          <t>12 Months</t>
        </is>
      </c>
      <c r="C17" s="12">
        <f>SUM(C5:C16)</f>
        <v/>
      </c>
      <c r="D17" s="12">
        <f>SUM(D5:D16)</f>
        <v/>
      </c>
      <c r="E17" s="13">
        <f>IF(C17&gt;0, D17/C17, 0)</f>
        <v/>
      </c>
      <c r="F17" s="11">
        <f>IF(E17&gt;=0.99, "YTD Met", "Tracking")</f>
        <v/>
      </c>
      <c r="G17" s="12">
        <f>SUM(G5:G16)</f>
        <v/>
      </c>
      <c r="H17" s="12">
        <f>SUM(H5:H16)</f>
        <v/>
      </c>
      <c r="I17" s="12">
        <f>SUM(I5:I16)</f>
        <v/>
      </c>
      <c r="J17" s="12">
        <f>SUM(J5:J16)</f>
        <v/>
      </c>
      <c r="K17" s="12">
        <f>SUM(K5:K16)</f>
        <v/>
      </c>
      <c r="L17" s="12">
        <f>SUM(L5:L16)</f>
        <v/>
      </c>
      <c r="M17" s="12">
        <f>SUM(M5:M16)</f>
        <v/>
      </c>
      <c r="N17" s="12">
        <f>SUM(N5:N16)</f>
        <v/>
      </c>
      <c r="O17" s="12">
        <f>SUM(O5:O16)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2" customWidth="1" min="4" max="4"/>
    <col width="18" customWidth="1" min="5" max="5"/>
    <col width="15" customWidth="1" min="6" max="6"/>
    <col width="15" customWidth="1" min="7" max="7"/>
    <col width="20" customWidth="1" min="8" max="8"/>
    <col width="24" customWidth="1" min="9" max="9"/>
  </cols>
  <sheetData>
    <row r="1" ht="28" customHeight="1">
      <c r="A1" s="1" t="inlineStr">
        <is>
          <t>SKIL LIFESTYLE LLP — QUARTERLY TURNOVER BONUS (QTB) &amp; ANNUAL BONUS (ATB)</t>
        </is>
      </c>
    </row>
    <row r="2" ht="18" customHeight="1">
      <c r="A2" s="2" t="inlineStr">
        <is>
          <t>QTB: 2.00% on Quarterly Basic Turnover | ATB: 3.00% on Rs 1.20 Cr Annual Basic Target</t>
        </is>
      </c>
    </row>
    <row r="4" ht="26" customHeight="1">
      <c r="A4" s="3" t="inlineStr">
        <is>
          <t>Period / Quarter</t>
        </is>
      </c>
      <c r="B4" s="3" t="inlineStr">
        <is>
          <t>Months Included</t>
        </is>
      </c>
      <c r="C4" s="3" t="inlineStr">
        <is>
          <t>Quarter Target (Basic Rs)</t>
        </is>
      </c>
      <c r="D4" s="3" t="inlineStr">
        <is>
          <t>Actual Basic Turnover (Rs)</t>
        </is>
      </c>
      <c r="E4" s="3" t="inlineStr">
        <is>
          <t>Quarter Achievement %</t>
        </is>
      </c>
      <c r="F4" s="3" t="inlineStr">
        <is>
          <t>Status</t>
        </is>
      </c>
      <c r="G4" s="3" t="inlineStr">
        <is>
          <t>QTB Rate (%)</t>
        </is>
      </c>
      <c r="H4" s="3" t="inlineStr">
        <is>
          <t>QTB Entitled Basic (Rs)</t>
        </is>
      </c>
      <c r="I4" s="3" t="inlineStr">
        <is>
          <t>Gross QTB with 5% IGST (Rs)</t>
        </is>
      </c>
    </row>
    <row r="5" ht="22" customHeight="1">
      <c r="A5" s="4" t="inlineStr">
        <is>
          <t>Q2 (FY 26-27)</t>
        </is>
      </c>
      <c r="B5" s="14" t="inlineStr">
        <is>
          <t>Aug 2026 – Sep 2026 (2 Mo)</t>
        </is>
      </c>
      <c r="C5" s="5" t="n">
        <v>2000000</v>
      </c>
      <c r="D5" s="5">
        <f>'Monthly Target Tracker'!D5+'Monthly Target Tracker'!D6</f>
        <v/>
      </c>
      <c r="E5" s="6">
        <f>IF(C5&gt;0, D5/C5, 0)</f>
        <v/>
      </c>
      <c r="F5" s="4">
        <f>IF(D5=0, "Pending", IF(E5&gt;=0.99, "Achieved", "Shortfall"))</f>
        <v/>
      </c>
      <c r="G5" s="15" t="n">
        <v>0.02</v>
      </c>
      <c r="H5" s="5">
        <f>D5*G5</f>
        <v/>
      </c>
      <c r="I5" s="5">
        <f>H5*1.05</f>
        <v/>
      </c>
    </row>
    <row r="6" ht="22" customHeight="1">
      <c r="A6" s="8" t="inlineStr">
        <is>
          <t>Q3 (FY 26-27)</t>
        </is>
      </c>
      <c r="B6" s="16" t="inlineStr">
        <is>
          <t>Oct 2026 – Dec 2026 (3 Mo)</t>
        </is>
      </c>
      <c r="C6" s="9" t="n">
        <v>3000000</v>
      </c>
      <c r="D6" s="9">
        <f>'Monthly Target Tracker'!D7+'Monthly Target Tracker'!D8+'Monthly Target Tracker'!D9</f>
        <v/>
      </c>
      <c r="E6" s="10">
        <f>IF(C6&gt;0, D6/C6, 0)</f>
        <v/>
      </c>
      <c r="F6" s="8">
        <f>IF(D6=0, "Pending", IF(E6&gt;=0.99, "Achieved", "Shortfall"))</f>
        <v/>
      </c>
      <c r="G6" s="17" t="n">
        <v>0.02</v>
      </c>
      <c r="H6" s="9">
        <f>D6*G6</f>
        <v/>
      </c>
      <c r="I6" s="9">
        <f>H6*1.05</f>
        <v/>
      </c>
    </row>
    <row r="7" ht="22" customHeight="1">
      <c r="A7" s="4" t="inlineStr">
        <is>
          <t>Q4 (FY 26-27)</t>
        </is>
      </c>
      <c r="B7" s="14" t="inlineStr">
        <is>
          <t>Jan 2027 – Mar 2027 (3 Mo)</t>
        </is>
      </c>
      <c r="C7" s="5" t="n">
        <v>3000000</v>
      </c>
      <c r="D7" s="5">
        <f>'Monthly Target Tracker'!D10+'Monthly Target Tracker'!D11+'Monthly Target Tracker'!D12</f>
        <v/>
      </c>
      <c r="E7" s="6">
        <f>IF(C7&gt;0, D7/C7, 0)</f>
        <v/>
      </c>
      <c r="F7" s="4">
        <f>IF(D7=0, "Pending", IF(E7&gt;=0.99, "Achieved", "Shortfall"))</f>
        <v/>
      </c>
      <c r="G7" s="15" t="n">
        <v>0.02</v>
      </c>
      <c r="H7" s="5">
        <f>D7*G7</f>
        <v/>
      </c>
      <c r="I7" s="5">
        <f>H7*1.05</f>
        <v/>
      </c>
    </row>
    <row r="8" ht="22" customHeight="1">
      <c r="A8" s="8" t="inlineStr">
        <is>
          <t>Q1 (FY 27-28)</t>
        </is>
      </c>
      <c r="B8" s="16" t="inlineStr">
        <is>
          <t>Apr 2027 – Jul 2027 (4 Mo)</t>
        </is>
      </c>
      <c r="C8" s="9" t="n">
        <v>4000000</v>
      </c>
      <c r="D8" s="9">
        <f>'Monthly Target Tracker'!D13+'Monthly Target Tracker'!D14+'Monthly Target Tracker'!D15+'Monthly Target Tracker'!D16</f>
        <v/>
      </c>
      <c r="E8" s="10">
        <f>IF(C8&gt;0, D8/C8, 0)</f>
        <v/>
      </c>
      <c r="F8" s="8">
        <f>IF(D8=0, "Pending", IF(E8&gt;=0.99, "Achieved", "Shortfall"))</f>
        <v/>
      </c>
      <c r="G8" s="17" t="n">
        <v>0.02</v>
      </c>
      <c r="H8" s="9">
        <f>D8*G8</f>
        <v/>
      </c>
      <c r="I8" s="9">
        <f>H8*1.05</f>
        <v/>
      </c>
    </row>
    <row r="9" ht="24" customHeight="1">
      <c r="A9" s="11" t="inlineStr">
        <is>
          <t>TOTAL QUARTERLY</t>
        </is>
      </c>
      <c r="B9" s="18" t="inlineStr">
        <is>
          <t>12 Months Total</t>
        </is>
      </c>
      <c r="C9" s="12">
        <f>SUM(C5:C8)</f>
        <v/>
      </c>
      <c r="D9" s="12">
        <f>SUM(D5:D8)</f>
        <v/>
      </c>
      <c r="E9" s="13">
        <f>IF(C9&gt;0, D9/C9, 0)</f>
        <v/>
      </c>
      <c r="F9" s="11">
        <f>IF(E9&gt;=0.99, "Target Met", "In Progress")</f>
        <v/>
      </c>
      <c r="G9" s="11" t="inlineStr">
        <is>
          <t>2.00% Avg</t>
        </is>
      </c>
      <c r="H9" s="12">
        <f>SUM(H5:H8)</f>
        <v/>
      </c>
      <c r="I9" s="12">
        <f>SUM(I5:I8)</f>
        <v/>
      </c>
    </row>
    <row r="11" ht="22" customHeight="1">
      <c r="A11" s="19" t="inlineStr">
        <is>
          <t>ANNUAL TURNOVER BONUS (ATB) AUDIT</t>
        </is>
      </c>
    </row>
    <row r="12" ht="20" customHeight="1">
      <c r="A12" s="20" t="inlineStr">
        <is>
          <t>Annual Commitment Target (Basic)</t>
        </is>
      </c>
      <c r="B12" s="21" t="inlineStr">
        <is>
          <t>Contract Section 2.0 (Aug 2026 to Jul 2027)</t>
        </is>
      </c>
      <c r="C12" s="22" t="n">
        <v>12000000</v>
      </c>
      <c r="D12" s="23" t="n"/>
      <c r="E12" s="23" t="n"/>
      <c r="F12" s="23" t="n"/>
      <c r="G12" s="23" t="n"/>
      <c r="H12" s="23" t="n"/>
      <c r="I12" s="23" t="n"/>
    </row>
    <row r="13" ht="20" customHeight="1">
      <c r="A13" s="24" t="inlineStr">
        <is>
          <t>YTD Actual Basic Turnover Achieved</t>
        </is>
      </c>
      <c r="B13" s="25" t="inlineStr">
        <is>
          <t>Sum of 12 Months Basic Purchases from Ajanta</t>
        </is>
      </c>
      <c r="C13" s="26">
        <f>D9</f>
        <v/>
      </c>
      <c r="D13" s="27" t="n"/>
      <c r="E13" s="27" t="n"/>
      <c r="F13" s="27" t="n"/>
      <c r="G13" s="27" t="n"/>
      <c r="H13" s="27" t="n"/>
      <c r="I13" s="27" t="n"/>
    </row>
    <row r="14" ht="20" customHeight="1">
      <c r="A14" s="20" t="inlineStr">
        <is>
          <t>Annual Progress %</t>
        </is>
      </c>
      <c r="B14" s="21">
        <f>IF(C12&gt;0, C13/C12, 0)</f>
        <v/>
      </c>
      <c r="C14" s="28" t="inlineStr"/>
      <c r="D14" s="23" t="n"/>
      <c r="E14" s="23" t="n"/>
      <c r="F14" s="23" t="n"/>
      <c r="G14" s="23" t="n"/>
      <c r="H14" s="23" t="n"/>
      <c r="I14" s="23" t="n"/>
    </row>
    <row r="15" ht="20" customHeight="1">
      <c r="A15" s="24" t="inlineStr">
        <is>
          <t>Annual Turnover Bonus Rate (ATB)</t>
        </is>
      </c>
      <c r="B15" s="25" t="inlineStr">
        <is>
          <t>Contract Additional Bonus Clause 1</t>
        </is>
      </c>
      <c r="C15" s="29" t="n">
        <v>0.03</v>
      </c>
      <c r="D15" s="27" t="n"/>
      <c r="E15" s="27" t="n"/>
      <c r="F15" s="27" t="n"/>
      <c r="G15" s="27" t="n"/>
      <c r="H15" s="27" t="n"/>
      <c r="I15" s="27" t="n"/>
    </row>
    <row r="16" ht="20" customHeight="1">
      <c r="A16" s="20" t="inlineStr">
        <is>
          <t>Projected Annual ATB Payout (Basic)</t>
        </is>
      </c>
      <c r="B16" s="21">
        <f>C13*C15</f>
        <v/>
      </c>
      <c r="C16" s="22" t="inlineStr"/>
      <c r="D16" s="23" t="n"/>
      <c r="E16" s="23" t="n"/>
      <c r="F16" s="23" t="n"/>
      <c r="G16" s="23" t="n"/>
      <c r="H16" s="23" t="n"/>
      <c r="I16" s="23" t="n"/>
    </row>
    <row r="17" ht="20" customHeight="1">
      <c r="A17" s="24" t="inlineStr">
        <is>
          <t>Gross ATB with 5% IGST Credit Note</t>
        </is>
      </c>
      <c r="B17" s="25">
        <f>C16*1.05</f>
        <v/>
      </c>
      <c r="C17" s="26" t="inlineStr"/>
      <c r="D17" s="27" t="n"/>
      <c r="E17" s="27" t="n"/>
      <c r="F17" s="27" t="n"/>
      <c r="G17" s="27" t="n"/>
      <c r="H17" s="27" t="n"/>
      <c r="I17" s="27" t="n"/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4" customWidth="1" min="4" max="4"/>
    <col width="12" customWidth="1" min="5" max="5"/>
    <col width="38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4" customWidth="1" min="12" max="12"/>
  </cols>
  <sheetData>
    <row r="1" ht="28" customHeight="1">
      <c r="A1" s="1" t="inlineStr">
        <is>
          <t>SKIL LIFESTYLE LLP — COMPLETE INWARD PURCHASE INVOICE LOG (FY 2026–27)</t>
        </is>
      </c>
    </row>
    <row r="2" ht="18" customHeight="1">
      <c r="A2" s="2" t="inlineStr">
        <is>
          <t>Audited &amp; Verified Inward Supplies (Ajanta Shoes India Pvt. Ltd. &amp; Xpania Footcare LLP) — 100% Reconciled to Tally Prime</t>
        </is>
      </c>
    </row>
    <row r="4" ht="26" customHeight="1">
      <c r="A4" s="30" t="inlineStr">
        <is>
          <t>Vch #</t>
        </is>
      </c>
      <c r="B4" s="30" t="inlineStr">
        <is>
          <t>Invoice Number</t>
        </is>
      </c>
      <c r="C4" s="30" t="inlineStr">
        <is>
          <t>Supplier Trade Name</t>
        </is>
      </c>
      <c r="D4" s="30" t="inlineStr">
        <is>
          <t>Invoice Date</t>
        </is>
      </c>
      <c r="E4" s="30" t="inlineStr">
        <is>
          <t>Filing Month</t>
        </is>
      </c>
      <c r="F4" s="30" t="inlineStr">
        <is>
          <t>Customer / Consignee Name</t>
        </is>
      </c>
      <c r="G4" s="30" t="inlineStr">
        <is>
          <t>Basic Amount (Rs)</t>
        </is>
      </c>
      <c r="H4" s="30" t="inlineStr">
        <is>
          <t>Input IGST (Rs)</t>
        </is>
      </c>
      <c r="I4" s="30" t="inlineStr">
        <is>
          <t>Invoice Total (Rs)</t>
        </is>
      </c>
      <c r="J4" s="30" t="inlineStr">
        <is>
          <t>Tally Status</t>
        </is>
      </c>
      <c r="K4" s="30" t="inlineStr">
        <is>
          <t>Payment Terms</t>
        </is>
      </c>
      <c r="L4" s="30" t="inlineStr">
        <is>
          <t>CD Eligible?</t>
        </is>
      </c>
    </row>
    <row r="5" ht="20" customHeight="1">
      <c r="A5" s="4" t="n">
        <v>1</v>
      </c>
      <c r="B5" s="14" t="inlineStr">
        <is>
          <t>1900402723</t>
        </is>
      </c>
      <c r="C5" s="14" t="inlineStr">
        <is>
          <t>Ajanta Shoes India Pvt. Ltd.</t>
        </is>
      </c>
      <c r="D5" s="4" t="inlineStr">
        <is>
          <t>12/08/2026</t>
        </is>
      </c>
      <c r="E5" s="4" t="inlineStr">
        <is>
          <t>Aug-2026</t>
        </is>
      </c>
      <c r="F5" s="14" t="inlineStr">
        <is>
          <t>M/s Sri Brundabana Enterprises, Rayagada</t>
        </is>
      </c>
      <c r="G5" s="31" t="n">
        <v>41332.56</v>
      </c>
      <c r="H5" s="31" t="n">
        <v>2066.62</v>
      </c>
      <c r="I5" s="31" t="n">
        <v>43399</v>
      </c>
      <c r="J5" s="4" t="inlineStr">
        <is>
          <t>Verified in Tally</t>
        </is>
      </c>
      <c r="K5" s="4" t="inlineStr">
        <is>
          <t>On Account / 30D</t>
        </is>
      </c>
      <c r="L5" s="4" t="inlineStr">
        <is>
          <t>Yes</t>
        </is>
      </c>
    </row>
    <row r="6" ht="20" customHeight="1">
      <c r="A6" s="8" t="n">
        <v>2</v>
      </c>
      <c r="B6" s="16" t="inlineStr">
        <is>
          <t>1900402722</t>
        </is>
      </c>
      <c r="C6" s="16" t="inlineStr">
        <is>
          <t>Ajanta Shoes India Pvt. Ltd.</t>
        </is>
      </c>
      <c r="D6" s="8" t="inlineStr">
        <is>
          <t>12/08/2026</t>
        </is>
      </c>
      <c r="E6" s="8" t="inlineStr">
        <is>
          <t>Aug-2026</t>
        </is>
      </c>
      <c r="F6" s="16" t="inlineStr">
        <is>
          <t>Delight Footwear, Vizianagaram</t>
        </is>
      </c>
      <c r="G6" s="32" t="n">
        <v>145384.32</v>
      </c>
      <c r="H6" s="32" t="n">
        <v>7269.18</v>
      </c>
      <c r="I6" s="32" t="n">
        <v>152653.5</v>
      </c>
      <c r="J6" s="8" t="inlineStr">
        <is>
          <t>Verified in Tally</t>
        </is>
      </c>
      <c r="K6" s="8" t="inlineStr">
        <is>
          <t>On Account / 30D</t>
        </is>
      </c>
      <c r="L6" s="8" t="inlineStr">
        <is>
          <t>Yes</t>
        </is>
      </c>
    </row>
    <row r="7" ht="20" customHeight="1">
      <c r="A7" s="4" t="n">
        <v>3</v>
      </c>
      <c r="B7" s="14" t="inlineStr">
        <is>
          <t>1900402782</t>
        </is>
      </c>
      <c r="C7" s="14" t="inlineStr">
        <is>
          <t>Ajanta Shoes India Pvt. Ltd.</t>
        </is>
      </c>
      <c r="D7" s="4" t="inlineStr">
        <is>
          <t>12/08/2026</t>
        </is>
      </c>
      <c r="E7" s="4" t="inlineStr">
        <is>
          <t>Aug-2026</t>
        </is>
      </c>
      <c r="F7" s="14" t="inlineStr">
        <is>
          <t>M/s Sri Brundabana Enterprises, Rayagada</t>
        </is>
      </c>
      <c r="G7" s="31" t="n">
        <v>59077.92</v>
      </c>
      <c r="H7" s="31" t="n">
        <v>2953.88</v>
      </c>
      <c r="I7" s="31" t="n">
        <v>62032</v>
      </c>
      <c r="J7" s="4" t="inlineStr">
        <is>
          <t>Verified in Tally</t>
        </is>
      </c>
      <c r="K7" s="4" t="inlineStr">
        <is>
          <t>On Account / 30D</t>
        </is>
      </c>
      <c r="L7" s="4" t="inlineStr">
        <is>
          <t>Yes</t>
        </is>
      </c>
    </row>
    <row r="8" ht="20" customHeight="1">
      <c r="A8" s="8" t="n">
        <v>4</v>
      </c>
      <c r="B8" s="16" t="inlineStr">
        <is>
          <t>1900402692</t>
        </is>
      </c>
      <c r="C8" s="16" t="inlineStr">
        <is>
          <t>Ajanta Shoes India Pvt. Ltd.</t>
        </is>
      </c>
      <c r="D8" s="8" t="inlineStr">
        <is>
          <t>12/08/2026</t>
        </is>
      </c>
      <c r="E8" s="8" t="inlineStr">
        <is>
          <t>Aug-2026</t>
        </is>
      </c>
      <c r="F8" s="16" t="inlineStr">
        <is>
          <t>K G N Footware, Parvathipuram</t>
        </is>
      </c>
      <c r="G8" s="32" t="n">
        <v>49943.64</v>
      </c>
      <c r="H8" s="32" t="n">
        <v>2497.16</v>
      </c>
      <c r="I8" s="32" t="n">
        <v>52441</v>
      </c>
      <c r="J8" s="8" t="inlineStr">
        <is>
          <t>Verified in Tally</t>
        </is>
      </c>
      <c r="K8" s="8" t="inlineStr">
        <is>
          <t>On Account / 30D</t>
        </is>
      </c>
      <c r="L8" s="8" t="inlineStr">
        <is>
          <t>Yes</t>
        </is>
      </c>
    </row>
    <row r="9" ht="20" customHeight="1">
      <c r="A9" s="4" t="n">
        <v>5</v>
      </c>
      <c r="B9" s="14" t="inlineStr">
        <is>
          <t>1900402693</t>
        </is>
      </c>
      <c r="C9" s="14" t="inlineStr">
        <is>
          <t>Ajanta Shoes India Pvt. Ltd.</t>
        </is>
      </c>
      <c r="D9" s="4" t="inlineStr">
        <is>
          <t>12/08/2026</t>
        </is>
      </c>
      <c r="E9" s="4" t="inlineStr">
        <is>
          <t>Aug-2026</t>
        </is>
      </c>
      <c r="F9" s="14" t="inlineStr">
        <is>
          <t>K G N Footware, Parvathipuram</t>
        </is>
      </c>
      <c r="G9" s="31" t="n">
        <v>53376.3</v>
      </c>
      <c r="H9" s="31" t="n">
        <v>2668.83</v>
      </c>
      <c r="I9" s="31" t="n">
        <v>56045</v>
      </c>
      <c r="J9" s="4" t="inlineStr">
        <is>
          <t>Verified in Tally</t>
        </is>
      </c>
      <c r="K9" s="4" t="inlineStr">
        <is>
          <t>On Account / 30D</t>
        </is>
      </c>
      <c r="L9" s="4" t="inlineStr">
        <is>
          <t>Yes</t>
        </is>
      </c>
    </row>
    <row r="10" ht="20" customHeight="1">
      <c r="A10" s="8" t="n">
        <v>6</v>
      </c>
      <c r="B10" s="16" t="inlineStr">
        <is>
          <t>1900402694</t>
        </is>
      </c>
      <c r="C10" s="16" t="inlineStr">
        <is>
          <t>Ajanta Shoes India Pvt. Ltd.</t>
        </is>
      </c>
      <c r="D10" s="8" t="inlineStr">
        <is>
          <t>12/08/2026</t>
        </is>
      </c>
      <c r="E10" s="8" t="inlineStr">
        <is>
          <t>Aug-2026</t>
        </is>
      </c>
      <c r="F10" s="16" t="inlineStr">
        <is>
          <t>K G N Footware, Parvathipuram</t>
        </is>
      </c>
      <c r="G10" s="32" t="n">
        <v>5339.4</v>
      </c>
      <c r="H10" s="32" t="n">
        <v>266.97</v>
      </c>
      <c r="I10" s="32" t="n">
        <v>5606</v>
      </c>
      <c r="J10" s="8" t="inlineStr">
        <is>
          <t>Verified in Tally</t>
        </is>
      </c>
      <c r="K10" s="8" t="inlineStr">
        <is>
          <t>On Account / 30D</t>
        </is>
      </c>
      <c r="L10" s="8" t="inlineStr">
        <is>
          <t>Yes</t>
        </is>
      </c>
    </row>
    <row r="11" ht="20" customHeight="1">
      <c r="A11" s="4" t="n">
        <v>7</v>
      </c>
      <c r="B11" s="14" t="inlineStr">
        <is>
          <t>1900402797</t>
        </is>
      </c>
      <c r="C11" s="14" t="inlineStr">
        <is>
          <t>Ajanta Shoes India Pvt. Ltd.</t>
        </is>
      </c>
      <c r="D11" s="4" t="inlineStr">
        <is>
          <t>12/08/2026</t>
        </is>
      </c>
      <c r="E11" s="4" t="inlineStr">
        <is>
          <t>Aug-2026</t>
        </is>
      </c>
      <c r="F11" s="14" t="inlineStr">
        <is>
          <t>M/s Sri Brundabana Enterprises, Rayagada</t>
        </is>
      </c>
      <c r="G11" s="31" t="n">
        <v>80256.60000000001</v>
      </c>
      <c r="H11" s="31" t="n">
        <v>4012.88</v>
      </c>
      <c r="I11" s="31" t="n">
        <v>84269</v>
      </c>
      <c r="J11" s="4" t="inlineStr">
        <is>
          <t>Verified in Tally</t>
        </is>
      </c>
      <c r="K11" s="4" t="inlineStr">
        <is>
          <t>On Account / 30D</t>
        </is>
      </c>
      <c r="L11" s="4" t="inlineStr">
        <is>
          <t>Yes</t>
        </is>
      </c>
    </row>
    <row r="12" ht="20" customHeight="1">
      <c r="A12" s="8" t="n">
        <v>8</v>
      </c>
      <c r="B12" s="16" t="inlineStr">
        <is>
          <t>1900402814</t>
        </is>
      </c>
      <c r="C12" s="16" t="inlineStr">
        <is>
          <t>Ajanta Shoes India Pvt. Ltd.</t>
        </is>
      </c>
      <c r="D12" s="8" t="inlineStr">
        <is>
          <t>12/08/2026</t>
        </is>
      </c>
      <c r="E12" s="8" t="inlineStr">
        <is>
          <t>Aug-2026</t>
        </is>
      </c>
      <c r="F12" s="16" t="inlineStr">
        <is>
          <t>M/s Sri Brundabana Enterprises, Rayagada</t>
        </is>
      </c>
      <c r="G12" s="32" t="n">
        <v>6053.7</v>
      </c>
      <c r="H12" s="32" t="n">
        <v>302.69</v>
      </c>
      <c r="I12" s="32" t="n">
        <v>6356</v>
      </c>
      <c r="J12" s="8" t="inlineStr">
        <is>
          <t>Verified in Tally</t>
        </is>
      </c>
      <c r="K12" s="8" t="inlineStr">
        <is>
          <t>On Account / 30D</t>
        </is>
      </c>
      <c r="L12" s="8" t="inlineStr">
        <is>
          <t>Yes</t>
        </is>
      </c>
    </row>
    <row r="13" ht="20" customHeight="1">
      <c r="A13" s="4" t="n">
        <v>9</v>
      </c>
      <c r="B13" s="14" t="inlineStr">
        <is>
          <t>1900402878</t>
        </is>
      </c>
      <c r="C13" s="14" t="inlineStr">
        <is>
          <t>Ajanta Shoes India Pvt. Ltd.</t>
        </is>
      </c>
      <c r="D13" s="4" t="inlineStr">
        <is>
          <t>12/08/2026</t>
        </is>
      </c>
      <c r="E13" s="4" t="inlineStr">
        <is>
          <t>Aug-2026</t>
        </is>
      </c>
      <c r="F13" s="14" t="inlineStr">
        <is>
          <t>M/s Sri Brundabana Enterprises, Rayagada</t>
        </is>
      </c>
      <c r="G13" s="31" t="n">
        <v>16018.5</v>
      </c>
      <c r="H13" s="31" t="n">
        <v>800.9299999999999</v>
      </c>
      <c r="I13" s="31" t="n">
        <v>16819</v>
      </c>
      <c r="J13" s="4" t="inlineStr">
        <is>
          <t>Verified in Tally</t>
        </is>
      </c>
      <c r="K13" s="4" t="inlineStr">
        <is>
          <t>On Account / 30D</t>
        </is>
      </c>
      <c r="L13" s="4" t="inlineStr">
        <is>
          <t>Yes</t>
        </is>
      </c>
    </row>
    <row r="14" ht="20" customHeight="1">
      <c r="A14" s="8" t="n">
        <v>10</v>
      </c>
      <c r="B14" s="16" t="inlineStr">
        <is>
          <t>1900402879</t>
        </is>
      </c>
      <c r="C14" s="16" t="inlineStr">
        <is>
          <t>Ajanta Shoes India Pvt. Ltd.</t>
        </is>
      </c>
      <c r="D14" s="8" t="inlineStr">
        <is>
          <t>12/08/2026</t>
        </is>
      </c>
      <c r="E14" s="8" t="inlineStr">
        <is>
          <t>Aug-2026</t>
        </is>
      </c>
      <c r="F14" s="16" t="inlineStr">
        <is>
          <t>M/s Sri Brundabana Enterprises, Rayagada</t>
        </is>
      </c>
      <c r="G14" s="32" t="n">
        <v>38448</v>
      </c>
      <c r="H14" s="32" t="n">
        <v>1922.42</v>
      </c>
      <c r="I14" s="32" t="n">
        <v>40370</v>
      </c>
      <c r="J14" s="8" t="inlineStr">
        <is>
          <t>Verified in Tally</t>
        </is>
      </c>
      <c r="K14" s="8" t="inlineStr">
        <is>
          <t>On Account / 30D</t>
        </is>
      </c>
      <c r="L14" s="8" t="inlineStr">
        <is>
          <t>Yes</t>
        </is>
      </c>
    </row>
    <row r="15" ht="20" customHeight="1">
      <c r="A15" s="4" t="n">
        <v>11</v>
      </c>
      <c r="B15" s="14" t="inlineStr">
        <is>
          <t>1900404091</t>
        </is>
      </c>
      <c r="C15" s="14" t="inlineStr">
        <is>
          <t>Ajanta Shoes India Pvt. Ltd.</t>
        </is>
      </c>
      <c r="D15" s="4" t="inlineStr">
        <is>
          <t>13/08/2026</t>
        </is>
      </c>
      <c r="E15" s="4" t="inlineStr">
        <is>
          <t>Aug-2026</t>
        </is>
      </c>
      <c r="F15" s="14" t="inlineStr">
        <is>
          <t>M/s. Shree Footwear, Srikakulam</t>
        </is>
      </c>
      <c r="G15" s="31" t="n">
        <v>67615.32000000001</v>
      </c>
      <c r="H15" s="31" t="n">
        <v>3380.79</v>
      </c>
      <c r="I15" s="31" t="n">
        <v>70996</v>
      </c>
      <c r="J15" s="4" t="inlineStr">
        <is>
          <t>Verified in Tally</t>
        </is>
      </c>
      <c r="K15" s="4" t="inlineStr">
        <is>
          <t>On Account / 30D</t>
        </is>
      </c>
      <c r="L15" s="4" t="inlineStr">
        <is>
          <t>Yes</t>
        </is>
      </c>
    </row>
    <row r="16" ht="20" customHeight="1">
      <c r="A16" s="8" t="n">
        <v>12</v>
      </c>
      <c r="B16" s="16" t="inlineStr">
        <is>
          <t>1900404102</t>
        </is>
      </c>
      <c r="C16" s="16" t="inlineStr">
        <is>
          <t>Ajanta Shoes India Pvt. Ltd.</t>
        </is>
      </c>
      <c r="D16" s="8" t="inlineStr">
        <is>
          <t>13/08/2026</t>
        </is>
      </c>
      <c r="E16" s="8" t="inlineStr">
        <is>
          <t>Aug-2026</t>
        </is>
      </c>
      <c r="F16" s="16" t="inlineStr">
        <is>
          <t>M/s. Shree Footwear, Srikakulam</t>
        </is>
      </c>
      <c r="G16" s="32" t="n">
        <v>26222.76</v>
      </c>
      <c r="H16" s="32" t="n">
        <v>1311.15</v>
      </c>
      <c r="I16" s="32" t="n">
        <v>27534</v>
      </c>
      <c r="J16" s="8" t="inlineStr">
        <is>
          <t>Verified in Tally</t>
        </is>
      </c>
      <c r="K16" s="8" t="inlineStr">
        <is>
          <t>On Account / 30D</t>
        </is>
      </c>
      <c r="L16" s="8" t="inlineStr">
        <is>
          <t>Yes</t>
        </is>
      </c>
    </row>
    <row r="17" ht="20" customHeight="1">
      <c r="A17" s="4" t="n">
        <v>13</v>
      </c>
      <c r="B17" s="14" t="inlineStr">
        <is>
          <t>1900404784</t>
        </is>
      </c>
      <c r="C17" s="14" t="inlineStr">
        <is>
          <t>Ajanta Shoes India Pvt. Ltd.</t>
        </is>
      </c>
      <c r="D17" s="4" t="inlineStr">
        <is>
          <t>17/08/2026</t>
        </is>
      </c>
      <c r="E17" s="4" t="inlineStr">
        <is>
          <t>Aug-2026</t>
        </is>
      </c>
      <c r="F17" s="14" t="inlineStr">
        <is>
          <t>M/s. Shree Footwear, Srikakulam</t>
        </is>
      </c>
      <c r="G17" s="31" t="n">
        <v>148593.96</v>
      </c>
      <c r="H17" s="31" t="n">
        <v>7429.7</v>
      </c>
      <c r="I17" s="31" t="n">
        <v>156024</v>
      </c>
      <c r="J17" s="4" t="inlineStr">
        <is>
          <t>Verified in Tally</t>
        </is>
      </c>
      <c r="K17" s="4" t="inlineStr">
        <is>
          <t>On Account / 30D</t>
        </is>
      </c>
      <c r="L17" s="4" t="inlineStr">
        <is>
          <t>Yes</t>
        </is>
      </c>
    </row>
    <row r="18" ht="20" customHeight="1">
      <c r="A18" s="8" t="n">
        <v>14</v>
      </c>
      <c r="B18" s="16" t="inlineStr">
        <is>
          <t>1900404927</t>
        </is>
      </c>
      <c r="C18" s="16" t="inlineStr">
        <is>
          <t>Ajanta Shoes India Pvt. Ltd.</t>
        </is>
      </c>
      <c r="D18" s="8" t="inlineStr">
        <is>
          <t>18/08/2026</t>
        </is>
      </c>
      <c r="E18" s="8" t="inlineStr">
        <is>
          <t>Aug-2026</t>
        </is>
      </c>
      <c r="F18" s="16" t="inlineStr">
        <is>
          <t>M/s. Shree Footwear, Srikakulam</t>
        </is>
      </c>
      <c r="G18" s="32" t="n">
        <v>65895.84</v>
      </c>
      <c r="H18" s="32" t="n">
        <v>3294.76</v>
      </c>
      <c r="I18" s="32" t="n">
        <v>69191</v>
      </c>
      <c r="J18" s="8" t="inlineStr">
        <is>
          <t>Verified in Tally</t>
        </is>
      </c>
      <c r="K18" s="8" t="inlineStr">
        <is>
          <t>On Account / 30D</t>
        </is>
      </c>
      <c r="L18" s="8" t="inlineStr">
        <is>
          <t>Yes</t>
        </is>
      </c>
    </row>
    <row r="19" ht="20" customHeight="1">
      <c r="A19" s="4" t="n">
        <v>15</v>
      </c>
      <c r="B19" s="14" t="inlineStr">
        <is>
          <t>1900405148</t>
        </is>
      </c>
      <c r="C19" s="14" t="inlineStr">
        <is>
          <t>Ajanta Shoes India Pvt. Ltd.</t>
        </is>
      </c>
      <c r="D19" s="4" t="inlineStr">
        <is>
          <t>19/08/2026</t>
        </is>
      </c>
      <c r="E19" s="4" t="inlineStr">
        <is>
          <t>Aug-2026</t>
        </is>
      </c>
      <c r="F19" s="14" t="inlineStr">
        <is>
          <t>M/s. Shree Footwear, Srikakulam</t>
        </is>
      </c>
      <c r="G19" s="31" t="n">
        <v>51158.7</v>
      </c>
      <c r="H19" s="31" t="n">
        <v>2557.94</v>
      </c>
      <c r="I19" s="31" t="n">
        <v>53717</v>
      </c>
      <c r="J19" s="4" t="inlineStr">
        <is>
          <t>Verified in Tally</t>
        </is>
      </c>
      <c r="K19" s="4" t="inlineStr">
        <is>
          <t>On Account / 30D</t>
        </is>
      </c>
      <c r="L19" s="4" t="inlineStr">
        <is>
          <t>Yes</t>
        </is>
      </c>
    </row>
    <row r="20" ht="20" customHeight="1">
      <c r="A20" s="8" t="n">
        <v>16</v>
      </c>
      <c r="B20" s="16" t="inlineStr">
        <is>
          <t>1900405157</t>
        </is>
      </c>
      <c r="C20" s="16" t="inlineStr">
        <is>
          <t>Ajanta Shoes India Pvt. Ltd.</t>
        </is>
      </c>
      <c r="D20" s="8" t="inlineStr">
        <is>
          <t>19/08/2026</t>
        </is>
      </c>
      <c r="E20" s="8" t="inlineStr">
        <is>
          <t>Aug-2026</t>
        </is>
      </c>
      <c r="F20" s="16" t="inlineStr">
        <is>
          <t>M/s. Shree Footwear, Srikakulam</t>
        </is>
      </c>
      <c r="G20" s="32" t="n">
        <v>21136.74</v>
      </c>
      <c r="H20" s="32" t="n">
        <v>1056.85</v>
      </c>
      <c r="I20" s="32" t="n">
        <v>22194</v>
      </c>
      <c r="J20" s="8" t="inlineStr">
        <is>
          <t>Verified in Tally</t>
        </is>
      </c>
      <c r="K20" s="8" t="inlineStr">
        <is>
          <t>On Account / 30D</t>
        </is>
      </c>
      <c r="L20" s="8" t="inlineStr">
        <is>
          <t>Yes</t>
        </is>
      </c>
    </row>
    <row r="21" ht="20" customHeight="1">
      <c r="A21" s="4" t="n">
        <v>17</v>
      </c>
      <c r="B21" s="14" t="inlineStr">
        <is>
          <t>1900405158</t>
        </is>
      </c>
      <c r="C21" s="14" t="inlineStr">
        <is>
          <t>Ajanta Shoes India Pvt. Ltd.</t>
        </is>
      </c>
      <c r="D21" s="4" t="inlineStr">
        <is>
          <t>19/08/2026</t>
        </is>
      </c>
      <c r="E21" s="4" t="inlineStr">
        <is>
          <t>Aug-2026</t>
        </is>
      </c>
      <c r="F21" s="14" t="inlineStr">
        <is>
          <t>M/s. Shree Footwear, Srikakulam</t>
        </is>
      </c>
      <c r="G21" s="31" t="n">
        <v>32306.64</v>
      </c>
      <c r="H21" s="31" t="n">
        <v>1615.33</v>
      </c>
      <c r="I21" s="31" t="n">
        <v>33922</v>
      </c>
      <c r="J21" s="4" t="inlineStr">
        <is>
          <t>Verified in Tally</t>
        </is>
      </c>
      <c r="K21" s="4" t="inlineStr">
        <is>
          <t>On Account / 30D</t>
        </is>
      </c>
      <c r="L21" s="4" t="inlineStr">
        <is>
          <t>Yes</t>
        </is>
      </c>
    </row>
    <row r="22" ht="20" customHeight="1">
      <c r="A22" s="8" t="n">
        <v>18</v>
      </c>
      <c r="B22" s="16" t="inlineStr">
        <is>
          <t>1900405361</t>
        </is>
      </c>
      <c r="C22" s="16" t="inlineStr">
        <is>
          <t>Ajanta Shoes India Pvt. Ltd.</t>
        </is>
      </c>
      <c r="D22" s="8" t="inlineStr">
        <is>
          <t>20/08/2026</t>
        </is>
      </c>
      <c r="E22" s="8" t="inlineStr">
        <is>
          <t>Aug-2026</t>
        </is>
      </c>
      <c r="F22" s="16" t="inlineStr">
        <is>
          <t>M/s. Shree Footwear, Srikakulam</t>
        </is>
      </c>
      <c r="G22" s="32" t="n">
        <v>14040</v>
      </c>
      <c r="H22" s="32" t="n">
        <v>702</v>
      </c>
      <c r="I22" s="32" t="n">
        <v>14742</v>
      </c>
      <c r="J22" s="8" t="inlineStr">
        <is>
          <t>Verified in Tally</t>
        </is>
      </c>
      <c r="K22" s="8" t="inlineStr">
        <is>
          <t>On Account / 30D</t>
        </is>
      </c>
      <c r="L22" s="8" t="inlineStr">
        <is>
          <t>Yes</t>
        </is>
      </c>
    </row>
    <row r="23" ht="20" customHeight="1">
      <c r="A23" s="4" t="n">
        <v>19</v>
      </c>
      <c r="B23" s="14" t="inlineStr">
        <is>
          <t>1900405893</t>
        </is>
      </c>
      <c r="C23" s="14" t="inlineStr">
        <is>
          <t>Ajanta Shoes India Pvt. Ltd.</t>
        </is>
      </c>
      <c r="D23" s="4" t="inlineStr">
        <is>
          <t>21/08/2026</t>
        </is>
      </c>
      <c r="E23" s="4" t="inlineStr">
        <is>
          <t>Aug-2026</t>
        </is>
      </c>
      <c r="F23" s="14" t="inlineStr">
        <is>
          <t>M/s. Shree Footwear, Srikakulam</t>
        </is>
      </c>
      <c r="G23" s="31" t="n">
        <v>71970.36</v>
      </c>
      <c r="H23" s="31" t="n">
        <v>3598.53</v>
      </c>
      <c r="I23" s="31" t="n">
        <v>75569</v>
      </c>
      <c r="J23" s="4" t="inlineStr">
        <is>
          <t>Verified in Tally</t>
        </is>
      </c>
      <c r="K23" s="4" t="inlineStr">
        <is>
          <t>On Account / 30D</t>
        </is>
      </c>
      <c r="L23" s="4" t="inlineStr">
        <is>
          <t>Yes</t>
        </is>
      </c>
    </row>
    <row r="24" ht="20" customHeight="1">
      <c r="A24" s="8" t="n">
        <v>20</v>
      </c>
      <c r="B24" s="16" t="inlineStr">
        <is>
          <t>1900403625</t>
        </is>
      </c>
      <c r="C24" s="16" t="inlineStr">
        <is>
          <t>Ajanta Shoes India Pvt. Ltd.</t>
        </is>
      </c>
      <c r="D24" s="8" t="inlineStr">
        <is>
          <t>11/08/2026</t>
        </is>
      </c>
      <c r="E24" s="8" t="inlineStr">
        <is>
          <t>Aug-2026</t>
        </is>
      </c>
      <c r="F24" s="16" t="inlineStr">
        <is>
          <t>M/s. Shree Footwear, Srikakulam</t>
        </is>
      </c>
      <c r="G24" s="32" t="n">
        <v>33098.4</v>
      </c>
      <c r="H24" s="32" t="n">
        <v>1654.92</v>
      </c>
      <c r="I24" s="32" t="n">
        <v>34753</v>
      </c>
      <c r="J24" s="8" t="inlineStr">
        <is>
          <t>Verified in Tally</t>
        </is>
      </c>
      <c r="K24" s="8" t="inlineStr">
        <is>
          <t>On Account / 30D</t>
        </is>
      </c>
      <c r="L24" s="8" t="inlineStr">
        <is>
          <t>Yes</t>
        </is>
      </c>
    </row>
    <row r="25" ht="20" customHeight="1">
      <c r="A25" s="4" t="n">
        <v>21</v>
      </c>
      <c r="B25" s="14" t="inlineStr">
        <is>
          <t>1900408353</t>
        </is>
      </c>
      <c r="C25" s="14" t="inlineStr">
        <is>
          <t>Ajanta Shoes India Pvt. Ltd.</t>
        </is>
      </c>
      <c r="D25" s="4" t="inlineStr">
        <is>
          <t>31/08/2026</t>
        </is>
      </c>
      <c r="E25" s="4" t="inlineStr">
        <is>
          <t>Aug-2026</t>
        </is>
      </c>
      <c r="F25" s="14" t="inlineStr">
        <is>
          <t>M/s Sri Brundabana Enterprises, Rayagada</t>
        </is>
      </c>
      <c r="G25" s="31" t="n">
        <v>150038.88</v>
      </c>
      <c r="H25" s="31" t="n">
        <v>7501.9</v>
      </c>
      <c r="I25" s="31" t="n">
        <v>157541</v>
      </c>
      <c r="J25" s="4" t="inlineStr">
        <is>
          <t>Verified in Tally</t>
        </is>
      </c>
      <c r="K25" s="4" t="inlineStr">
        <is>
          <t>On Account / 30D</t>
        </is>
      </c>
      <c r="L25" s="4" t="inlineStr">
        <is>
          <t>Yes</t>
        </is>
      </c>
    </row>
    <row r="26" ht="20" customHeight="1">
      <c r="A26" s="8" t="n">
        <v>22</v>
      </c>
      <c r="B26" s="16" t="inlineStr">
        <is>
          <t>1900408420</t>
        </is>
      </c>
      <c r="C26" s="16" t="inlineStr">
        <is>
          <t>Ajanta Shoes India Pvt. Ltd.</t>
        </is>
      </c>
      <c r="D26" s="8" t="inlineStr">
        <is>
          <t>31/08/2026</t>
        </is>
      </c>
      <c r="E26" s="8" t="inlineStr">
        <is>
          <t>Aug-2026</t>
        </is>
      </c>
      <c r="F26" s="16" t="inlineStr">
        <is>
          <t>M/s Sri Brundabana Enterprises, Rayagada</t>
        </is>
      </c>
      <c r="G26" s="32" t="n">
        <v>14821.8</v>
      </c>
      <c r="H26" s="32" t="n">
        <v>741.1</v>
      </c>
      <c r="I26" s="32" t="n">
        <v>15563</v>
      </c>
      <c r="J26" s="8" t="inlineStr">
        <is>
          <t>Verified in Tally</t>
        </is>
      </c>
      <c r="K26" s="8" t="inlineStr">
        <is>
          <t>On Account / 30D</t>
        </is>
      </c>
      <c r="L26" s="8" t="inlineStr">
        <is>
          <t>Yes</t>
        </is>
      </c>
    </row>
    <row r="27" ht="20" customHeight="1">
      <c r="A27" s="4" t="n">
        <v>23</v>
      </c>
      <c r="B27" s="14" t="inlineStr">
        <is>
          <t>XPL/2041/26-27</t>
        </is>
      </c>
      <c r="C27" s="14" t="inlineStr">
        <is>
          <t>XPANIA FOOTCARE LLP</t>
        </is>
      </c>
      <c r="D27" s="4" t="inlineStr">
        <is>
          <t>09/09/2026</t>
        </is>
      </c>
      <c r="E27" s="4" t="inlineStr">
        <is>
          <t>Sep-2026</t>
        </is>
      </c>
      <c r="F27" s="14" t="inlineStr">
        <is>
          <t>M/s Sushila Boot House, Jharsuguda</t>
        </is>
      </c>
      <c r="G27" s="31" t="n">
        <v>162196.34</v>
      </c>
      <c r="H27" s="31" t="n">
        <v>8109.79</v>
      </c>
      <c r="I27" s="31" t="n">
        <v>170306</v>
      </c>
      <c r="J27" s="4" t="inlineStr">
        <is>
          <t>Verified in Tally</t>
        </is>
      </c>
      <c r="K27" s="4" t="inlineStr">
        <is>
          <t>On Account / 30D</t>
        </is>
      </c>
      <c r="L27" s="4" t="inlineStr">
        <is>
          <t>N/A</t>
        </is>
      </c>
    </row>
    <row r="28" ht="20" customHeight="1">
      <c r="A28" s="8" t="n">
        <v>24</v>
      </c>
      <c r="B28" s="16" t="inlineStr">
        <is>
          <t>1900410889</t>
        </is>
      </c>
      <c r="C28" s="16" t="inlineStr">
        <is>
          <t>Ajanta Shoes India Pvt. Ltd.</t>
        </is>
      </c>
      <c r="D28" s="8" t="inlineStr">
        <is>
          <t>11/09/2026</t>
        </is>
      </c>
      <c r="E28" s="8" t="inlineStr">
        <is>
          <t>Sep-2026</t>
        </is>
      </c>
      <c r="F28" s="16" t="inlineStr">
        <is>
          <t>Jyothi Footwear, Vizianagaram</t>
        </is>
      </c>
      <c r="G28" s="32" t="n">
        <v>21803.52</v>
      </c>
      <c r="H28" s="32" t="n">
        <v>1090.16</v>
      </c>
      <c r="I28" s="32" t="n">
        <v>22894</v>
      </c>
      <c r="J28" s="8" t="inlineStr">
        <is>
          <t>Verified in Tally</t>
        </is>
      </c>
      <c r="K28" s="8" t="inlineStr">
        <is>
          <t>On Account / 30D</t>
        </is>
      </c>
      <c r="L28" s="8" t="inlineStr">
        <is>
          <t>Yes</t>
        </is>
      </c>
    </row>
    <row r="29" ht="20" customHeight="1">
      <c r="A29" s="4" t="n">
        <v>25</v>
      </c>
      <c r="B29" s="14" t="inlineStr">
        <is>
          <t>1900410928</t>
        </is>
      </c>
      <c r="C29" s="14" t="inlineStr">
        <is>
          <t>Ajanta Shoes India Pvt. Ltd.</t>
        </is>
      </c>
      <c r="D29" s="4" t="inlineStr">
        <is>
          <t>11/09/2026</t>
        </is>
      </c>
      <c r="E29" s="4" t="inlineStr">
        <is>
          <t>Sep-2026</t>
        </is>
      </c>
      <c r="F29" s="14" t="inlineStr">
        <is>
          <t>Jyothi Footwear, Vizianagaram</t>
        </is>
      </c>
      <c r="G29" s="31" t="n">
        <v>17959.08</v>
      </c>
      <c r="H29" s="31" t="n">
        <v>897.95</v>
      </c>
      <c r="I29" s="31" t="n">
        <v>18857</v>
      </c>
      <c r="J29" s="4" t="inlineStr">
        <is>
          <t>Verified in Tally</t>
        </is>
      </c>
      <c r="K29" s="4" t="inlineStr">
        <is>
          <t>On Account / 30D</t>
        </is>
      </c>
      <c r="L29" s="4" t="inlineStr">
        <is>
          <t>Yes</t>
        </is>
      </c>
    </row>
    <row r="30" ht="20" customHeight="1">
      <c r="A30" s="8" t="n">
        <v>26</v>
      </c>
      <c r="B30" s="16" t="inlineStr">
        <is>
          <t>1900410970</t>
        </is>
      </c>
      <c r="C30" s="16" t="inlineStr">
        <is>
          <t>Ajanta Shoes India Pvt. Ltd.</t>
        </is>
      </c>
      <c r="D30" s="8" t="inlineStr">
        <is>
          <t>11/09/2026</t>
        </is>
      </c>
      <c r="E30" s="8" t="inlineStr">
        <is>
          <t>Sep-2026</t>
        </is>
      </c>
      <c r="F30" s="16" t="inlineStr">
        <is>
          <t>Jyothi Footwear, Vizianagaram</t>
        </is>
      </c>
      <c r="G30" s="32" t="n">
        <v>4036.2</v>
      </c>
      <c r="H30" s="32" t="n">
        <v>201.81</v>
      </c>
      <c r="I30" s="32" t="n">
        <v>4238</v>
      </c>
      <c r="J30" s="8" t="inlineStr">
        <is>
          <t>Verified in Tally</t>
        </is>
      </c>
      <c r="K30" s="8" t="inlineStr">
        <is>
          <t>On Account / 30D</t>
        </is>
      </c>
      <c r="L30" s="8" t="inlineStr">
        <is>
          <t>Yes</t>
        </is>
      </c>
    </row>
    <row r="31" ht="20" customHeight="1">
      <c r="A31" s="4" t="n">
        <v>27</v>
      </c>
      <c r="B31" s="14" t="inlineStr">
        <is>
          <t>1900410890</t>
        </is>
      </c>
      <c r="C31" s="14" t="inlineStr">
        <is>
          <t>Ajanta Shoes India Pvt. Ltd.</t>
        </is>
      </c>
      <c r="D31" s="4" t="inlineStr">
        <is>
          <t>11/09/2026</t>
        </is>
      </c>
      <c r="E31" s="4" t="inlineStr">
        <is>
          <t>Sep-2026</t>
        </is>
      </c>
      <c r="F31" s="14" t="inlineStr">
        <is>
          <t>K G N Footware, Parvathipuram</t>
        </is>
      </c>
      <c r="G31" s="31" t="n">
        <v>50893.44</v>
      </c>
      <c r="H31" s="31" t="n">
        <v>2544.64</v>
      </c>
      <c r="I31" s="31" t="n">
        <v>53438</v>
      </c>
      <c r="J31" s="4" t="inlineStr">
        <is>
          <t>Verified in Tally</t>
        </is>
      </c>
      <c r="K31" s="4" t="inlineStr">
        <is>
          <t>On Account / 30D</t>
        </is>
      </c>
      <c r="L31" s="4" t="inlineStr">
        <is>
          <t>Yes</t>
        </is>
      </c>
    </row>
    <row r="32" ht="20" customHeight="1">
      <c r="A32" s="8" t="n">
        <v>28</v>
      </c>
      <c r="B32" s="16" t="inlineStr">
        <is>
          <t>1900410929</t>
        </is>
      </c>
      <c r="C32" s="16" t="inlineStr">
        <is>
          <t>Ajanta Shoes India Pvt. Ltd.</t>
        </is>
      </c>
      <c r="D32" s="8" t="inlineStr">
        <is>
          <t>11/09/2026</t>
        </is>
      </c>
      <c r="E32" s="8" t="inlineStr">
        <is>
          <t>Sep-2026</t>
        </is>
      </c>
      <c r="F32" s="16" t="inlineStr">
        <is>
          <t>K G N Footware, Parvathipuram</t>
        </is>
      </c>
      <c r="G32" s="32" t="n">
        <v>54079.08</v>
      </c>
      <c r="H32" s="32" t="n">
        <v>2703.93</v>
      </c>
      <c r="I32" s="32" t="n">
        <v>56783</v>
      </c>
      <c r="J32" s="8" t="inlineStr">
        <is>
          <t>Verified in Tally</t>
        </is>
      </c>
      <c r="K32" s="8" t="inlineStr">
        <is>
          <t>On Account / 30D</t>
        </is>
      </c>
      <c r="L32" s="8" t="inlineStr">
        <is>
          <t>Yes</t>
        </is>
      </c>
    </row>
    <row r="33" ht="20" customHeight="1">
      <c r="A33" s="4" t="n">
        <v>29</v>
      </c>
      <c r="B33" s="14" t="inlineStr">
        <is>
          <t>1900410971</t>
        </is>
      </c>
      <c r="C33" s="14" t="inlineStr">
        <is>
          <t>Ajanta Shoes India Pvt. Ltd.</t>
        </is>
      </c>
      <c r="D33" s="4" t="inlineStr">
        <is>
          <t>11/09/2026</t>
        </is>
      </c>
      <c r="E33" s="4" t="inlineStr">
        <is>
          <t>Sep-2026</t>
        </is>
      </c>
      <c r="F33" s="14" t="inlineStr">
        <is>
          <t>K G N Footware, Parvathipuram</t>
        </is>
      </c>
      <c r="G33" s="31" t="n">
        <v>32519.7</v>
      </c>
      <c r="H33" s="31" t="n">
        <v>1626</v>
      </c>
      <c r="I33" s="31" t="n">
        <v>34146</v>
      </c>
      <c r="J33" s="4" t="inlineStr">
        <is>
          <t>Verified in Tally</t>
        </is>
      </c>
      <c r="K33" s="4" t="inlineStr">
        <is>
          <t>On Account / 30D</t>
        </is>
      </c>
      <c r="L33" s="4" t="inlineStr">
        <is>
          <t>Yes</t>
        </is>
      </c>
    </row>
    <row r="34" ht="20" customHeight="1">
      <c r="A34" s="8" t="n">
        <v>30</v>
      </c>
      <c r="B34" s="16" t="inlineStr">
        <is>
          <t>1900411104</t>
        </is>
      </c>
      <c r="C34" s="16" t="inlineStr">
        <is>
          <t>Ajanta Shoes India Pvt. Ltd.</t>
        </is>
      </c>
      <c r="D34" s="8" t="inlineStr">
        <is>
          <t>11/09/2026</t>
        </is>
      </c>
      <c r="E34" s="8" t="inlineStr">
        <is>
          <t>Sep-2026</t>
        </is>
      </c>
      <c r="F34" s="16" t="inlineStr">
        <is>
          <t>Jyothi Footwear, Vizianagaram</t>
        </is>
      </c>
      <c r="G34" s="32" t="n">
        <v>4393.2</v>
      </c>
      <c r="H34" s="32" t="n">
        <v>219.66</v>
      </c>
      <c r="I34" s="32" t="n">
        <v>4613</v>
      </c>
      <c r="J34" s="8" t="inlineStr">
        <is>
          <t>Verified in Tally</t>
        </is>
      </c>
      <c r="K34" s="8" t="inlineStr">
        <is>
          <t>On Account / 30D</t>
        </is>
      </c>
      <c r="L34" s="8" t="inlineStr">
        <is>
          <t>Yes</t>
        </is>
      </c>
    </row>
    <row r="35" ht="20" customHeight="1">
      <c r="A35" s="4" t="n">
        <v>31</v>
      </c>
      <c r="B35" s="14" t="inlineStr">
        <is>
          <t>1900412399</t>
        </is>
      </c>
      <c r="C35" s="14" t="inlineStr">
        <is>
          <t>Ajanta Shoes India Pvt. Ltd.</t>
        </is>
      </c>
      <c r="D35" s="4" t="inlineStr">
        <is>
          <t>16/09/2026</t>
        </is>
      </c>
      <c r="E35" s="4" t="inlineStr">
        <is>
          <t>Sep-2026</t>
        </is>
      </c>
      <c r="F35" s="14" t="inlineStr">
        <is>
          <t>M/s. Shree Footwear, Srikakulam</t>
        </is>
      </c>
      <c r="G35" s="31" t="n">
        <v>19989</v>
      </c>
      <c r="H35" s="31" t="n">
        <v>999.45</v>
      </c>
      <c r="I35" s="31" t="n">
        <v>20988</v>
      </c>
      <c r="J35" s="4" t="inlineStr">
        <is>
          <t>Verified in Tally</t>
        </is>
      </c>
      <c r="K35" s="4" t="inlineStr">
        <is>
          <t>On Account / 30D</t>
        </is>
      </c>
      <c r="L35" s="4" t="inlineStr">
        <is>
          <t>Yes</t>
        </is>
      </c>
    </row>
    <row r="36" ht="20" customHeight="1">
      <c r="A36" s="8" t="n">
        <v>32</v>
      </c>
      <c r="B36" s="16" t="inlineStr">
        <is>
          <t>1900412471</t>
        </is>
      </c>
      <c r="C36" s="16" t="inlineStr">
        <is>
          <t>Ajanta Shoes India Pvt. Ltd.</t>
        </is>
      </c>
      <c r="D36" s="8" t="inlineStr">
        <is>
          <t>16/09/2026</t>
        </is>
      </c>
      <c r="E36" s="8" t="inlineStr">
        <is>
          <t>Sep-2026</t>
        </is>
      </c>
      <c r="F36" s="16" t="inlineStr">
        <is>
          <t>M/s. Shree Footwear, Srikakulam</t>
        </is>
      </c>
      <c r="G36" s="32" t="n">
        <v>11928.9</v>
      </c>
      <c r="H36" s="32" t="n">
        <v>596.45</v>
      </c>
      <c r="I36" s="32" t="n">
        <v>12525</v>
      </c>
      <c r="J36" s="8" t="inlineStr">
        <is>
          <t>Verified in Tally</t>
        </is>
      </c>
      <c r="K36" s="8" t="inlineStr">
        <is>
          <t>On Account / 30D</t>
        </is>
      </c>
      <c r="L36" s="8" t="inlineStr">
        <is>
          <t>Yes</t>
        </is>
      </c>
    </row>
    <row r="37" ht="20" customHeight="1">
      <c r="A37" s="4" t="n">
        <v>33</v>
      </c>
      <c r="B37" s="14" t="inlineStr">
        <is>
          <t>1900412530</t>
        </is>
      </c>
      <c r="C37" s="14" t="inlineStr">
        <is>
          <t>Ajanta Shoes India Pvt. Ltd.</t>
        </is>
      </c>
      <c r="D37" s="4" t="inlineStr">
        <is>
          <t>16/09/2026</t>
        </is>
      </c>
      <c r="E37" s="4" t="inlineStr">
        <is>
          <t>Sep-2026</t>
        </is>
      </c>
      <c r="F37" s="14" t="inlineStr">
        <is>
          <t>M/s. Shree Footwear, Srikakulam</t>
        </is>
      </c>
      <c r="G37" s="31" t="n">
        <v>11876.1</v>
      </c>
      <c r="H37" s="31" t="n">
        <v>593.8099999999999</v>
      </c>
      <c r="I37" s="31" t="n">
        <v>12470</v>
      </c>
      <c r="J37" s="4" t="inlineStr">
        <is>
          <t>Verified in Tally</t>
        </is>
      </c>
      <c r="K37" s="4" t="inlineStr">
        <is>
          <t>On Account / 30D</t>
        </is>
      </c>
      <c r="L37" s="4" t="inlineStr">
        <is>
          <t>Yes</t>
        </is>
      </c>
    </row>
    <row r="38" ht="20" customHeight="1">
      <c r="A38" s="8" t="n">
        <v>34</v>
      </c>
      <c r="B38" s="16" t="inlineStr">
        <is>
          <t>1900412536</t>
        </is>
      </c>
      <c r="C38" s="16" t="inlineStr">
        <is>
          <t>Ajanta Shoes India Pvt. Ltd.</t>
        </is>
      </c>
      <c r="D38" s="8" t="inlineStr">
        <is>
          <t>16/09/2026</t>
        </is>
      </c>
      <c r="E38" s="8" t="inlineStr">
        <is>
          <t>Sep-2026</t>
        </is>
      </c>
      <c r="F38" s="16" t="inlineStr">
        <is>
          <t>M/s. Shree Footwear, Srikakulam</t>
        </is>
      </c>
      <c r="G38" s="32" t="n">
        <v>5696.7</v>
      </c>
      <c r="H38" s="32" t="n">
        <v>284.84</v>
      </c>
      <c r="I38" s="32" t="n">
        <v>5982</v>
      </c>
      <c r="J38" s="8" t="inlineStr">
        <is>
          <t>Verified in Tally</t>
        </is>
      </c>
      <c r="K38" s="8" t="inlineStr">
        <is>
          <t>On Account / 30D</t>
        </is>
      </c>
      <c r="L38" s="8" t="inlineStr">
        <is>
          <t>Yes</t>
        </is>
      </c>
    </row>
    <row r="39" ht="20" customHeight="1">
      <c r="A39" s="4" t="n">
        <v>35</v>
      </c>
      <c r="B39" s="14" t="inlineStr">
        <is>
          <t>XPL/2140/26-27</t>
        </is>
      </c>
      <c r="C39" s="14" t="inlineStr">
        <is>
          <t>XPANIA FOOTCARE LLP</t>
        </is>
      </c>
      <c r="D39" s="4" t="inlineStr">
        <is>
          <t>19/09/2026</t>
        </is>
      </c>
      <c r="E39" s="4" t="inlineStr">
        <is>
          <t>Sep-2026</t>
        </is>
      </c>
      <c r="F39" s="14" t="inlineStr">
        <is>
          <t>Mahavir Shoe House, Dhenkanal</t>
        </is>
      </c>
      <c r="G39" s="31" t="n">
        <v>254563.8</v>
      </c>
      <c r="H39" s="31" t="n">
        <v>12728.19</v>
      </c>
      <c r="I39" s="31" t="n">
        <v>267292</v>
      </c>
      <c r="J39" s="4" t="inlineStr">
        <is>
          <t>Verified in Tally</t>
        </is>
      </c>
      <c r="K39" s="4" t="inlineStr">
        <is>
          <t>On Account / 30D</t>
        </is>
      </c>
      <c r="L39" s="4" t="inlineStr">
        <is>
          <t>N/A</t>
        </is>
      </c>
    </row>
    <row r="40" ht="20" customHeight="1">
      <c r="A40" s="8" t="n">
        <v>36</v>
      </c>
      <c r="B40" s="16" t="inlineStr">
        <is>
          <t>1900413999</t>
        </is>
      </c>
      <c r="C40" s="16" t="inlineStr">
        <is>
          <t>Ajanta Shoes India Pvt. Ltd.</t>
        </is>
      </c>
      <c r="D40" s="8" t="inlineStr">
        <is>
          <t>22/09/2026</t>
        </is>
      </c>
      <c r="E40" s="8" t="inlineStr">
        <is>
          <t>Sep-2026</t>
        </is>
      </c>
      <c r="F40" s="16" t="inlineStr">
        <is>
          <t>M/s. Shree Footwear, Srikakulam</t>
        </is>
      </c>
      <c r="G40" s="32" t="n">
        <v>12386.16</v>
      </c>
      <c r="H40" s="32" t="n">
        <v>619.3</v>
      </c>
      <c r="I40" s="32" t="n">
        <v>13005</v>
      </c>
      <c r="J40" s="8" t="inlineStr">
        <is>
          <t>Verified in Tally</t>
        </is>
      </c>
      <c r="K40" s="8" t="inlineStr">
        <is>
          <t>On Account / 30D</t>
        </is>
      </c>
      <c r="L40" s="8" t="inlineStr">
        <is>
          <t>Yes</t>
        </is>
      </c>
    </row>
    <row r="41" ht="20" customHeight="1">
      <c r="A41" s="4" t="n">
        <v>37</v>
      </c>
      <c r="B41" s="14" t="inlineStr">
        <is>
          <t>1900414047</t>
        </is>
      </c>
      <c r="C41" s="14" t="inlineStr">
        <is>
          <t>Ajanta Shoes India Pvt. Ltd.</t>
        </is>
      </c>
      <c r="D41" s="4" t="inlineStr">
        <is>
          <t>22/09/2026</t>
        </is>
      </c>
      <c r="E41" s="4" t="inlineStr">
        <is>
          <t>Sep-2026</t>
        </is>
      </c>
      <c r="F41" s="14" t="inlineStr">
        <is>
          <t>M/s. Shree Footwear, Srikakulam</t>
        </is>
      </c>
      <c r="G41" s="31" t="n">
        <v>22786.2</v>
      </c>
      <c r="H41" s="31" t="n">
        <v>1139.32</v>
      </c>
      <c r="I41" s="31" t="n">
        <v>23926</v>
      </c>
      <c r="J41" s="4" t="inlineStr">
        <is>
          <t>Verified in Tally</t>
        </is>
      </c>
      <c r="K41" s="4" t="inlineStr">
        <is>
          <t>On Account / 30D</t>
        </is>
      </c>
      <c r="L41" s="4" t="inlineStr">
        <is>
          <t>Yes</t>
        </is>
      </c>
    </row>
    <row r="42" ht="20" customHeight="1">
      <c r="A42" s="8" t="n">
        <v>38</v>
      </c>
      <c r="B42" s="16" t="inlineStr">
        <is>
          <t>1900415903</t>
        </is>
      </c>
      <c r="C42" s="16" t="inlineStr">
        <is>
          <t>Ajanta Shoes India Pvt. Ltd.</t>
        </is>
      </c>
      <c r="D42" s="8" t="inlineStr">
        <is>
          <t>27/09/2026</t>
        </is>
      </c>
      <c r="E42" s="8" t="inlineStr">
        <is>
          <t>Sep-2026</t>
        </is>
      </c>
      <c r="F42" s="16" t="inlineStr">
        <is>
          <t>M/s Sri Brundabana Enterprises, Rayagada</t>
        </is>
      </c>
      <c r="G42" s="32" t="n">
        <v>9959.52</v>
      </c>
      <c r="H42" s="32" t="n">
        <v>497.98</v>
      </c>
      <c r="I42" s="32" t="n">
        <v>10458</v>
      </c>
      <c r="J42" s="8" t="inlineStr">
        <is>
          <t>Verified in Tally</t>
        </is>
      </c>
      <c r="K42" s="8" t="inlineStr">
        <is>
          <t>On Account / 30D</t>
        </is>
      </c>
      <c r="L42" s="8" t="inlineStr">
        <is>
          <t>Yes</t>
        </is>
      </c>
    </row>
    <row r="43" ht="20" customHeight="1">
      <c r="A43" s="4" t="n">
        <v>39</v>
      </c>
      <c r="B43" s="14" t="inlineStr">
        <is>
          <t>1900415994</t>
        </is>
      </c>
      <c r="C43" s="14" t="inlineStr">
        <is>
          <t>Ajanta Shoes India Pvt. Ltd.</t>
        </is>
      </c>
      <c r="D43" s="4" t="inlineStr">
        <is>
          <t>27/09/2026</t>
        </is>
      </c>
      <c r="E43" s="4" t="inlineStr">
        <is>
          <t>Sep-2026</t>
        </is>
      </c>
      <c r="F43" s="14" t="inlineStr">
        <is>
          <t>M/s Sri Brundabana Enterprises, Rayagada</t>
        </is>
      </c>
      <c r="G43" s="31" t="n">
        <v>5339.4</v>
      </c>
      <c r="H43" s="31" t="n">
        <v>266.97</v>
      </c>
      <c r="I43" s="31" t="n">
        <v>5606</v>
      </c>
      <c r="J43" s="4" t="inlineStr">
        <is>
          <t>Verified in Tally</t>
        </is>
      </c>
      <c r="K43" s="4" t="inlineStr">
        <is>
          <t>On Account / 30D</t>
        </is>
      </c>
      <c r="L43" s="4" t="inlineStr">
        <is>
          <t>Yes</t>
        </is>
      </c>
    </row>
    <row r="44" ht="20" customHeight="1">
      <c r="A44" s="8" t="n">
        <v>40</v>
      </c>
      <c r="B44" s="16" t="inlineStr">
        <is>
          <t>1900416575</t>
        </is>
      </c>
      <c r="C44" s="16" t="inlineStr">
        <is>
          <t>Ajanta Shoes India Pvt. Ltd.</t>
        </is>
      </c>
      <c r="D44" s="8" t="inlineStr">
        <is>
          <t>28/09/2026</t>
        </is>
      </c>
      <c r="E44" s="8" t="inlineStr">
        <is>
          <t>Sep-2026</t>
        </is>
      </c>
      <c r="F44" s="16" t="inlineStr">
        <is>
          <t>Sri Sharvani Traders, Visakhapatnam</t>
        </is>
      </c>
      <c r="G44" s="32" t="n">
        <v>287637.24</v>
      </c>
      <c r="H44" s="32" t="n">
        <v>14381.87</v>
      </c>
      <c r="I44" s="32" t="n">
        <v>302019</v>
      </c>
      <c r="J44" s="8" t="inlineStr">
        <is>
          <t>Verified in Tally</t>
        </is>
      </c>
      <c r="K44" s="8" t="inlineStr">
        <is>
          <t>On Account / 30D</t>
        </is>
      </c>
      <c r="L44" s="8" t="inlineStr">
        <is>
          <t>Yes</t>
        </is>
      </c>
    </row>
    <row r="45" ht="20" customHeight="1">
      <c r="A45" s="4" t="n">
        <v>41</v>
      </c>
      <c r="B45" s="14" t="inlineStr">
        <is>
          <t>1900416574</t>
        </is>
      </c>
      <c r="C45" s="14" t="inlineStr">
        <is>
          <t>Ajanta Shoes India Pvt. Ltd.</t>
        </is>
      </c>
      <c r="D45" s="4" t="inlineStr">
        <is>
          <t>28/09/2026</t>
        </is>
      </c>
      <c r="E45" s="4" t="inlineStr">
        <is>
          <t>Sep-2026</t>
        </is>
      </c>
      <c r="F45" s="14" t="inlineStr">
        <is>
          <t>Jyothi Footwear, Vizianagaram</t>
        </is>
      </c>
      <c r="G45" s="31" t="n">
        <v>74536.92</v>
      </c>
      <c r="H45" s="31" t="n">
        <v>3726.85</v>
      </c>
      <c r="I45" s="31" t="n">
        <v>78264</v>
      </c>
      <c r="J45" s="4" t="inlineStr">
        <is>
          <t>Verified in Tally</t>
        </is>
      </c>
      <c r="K45" s="4" t="inlineStr">
        <is>
          <t>On Account / 30D</t>
        </is>
      </c>
      <c r="L45" s="4" t="inlineStr">
        <is>
          <t>Yes</t>
        </is>
      </c>
    </row>
    <row r="46" ht="20" customHeight="1">
      <c r="A46" s="8" t="n">
        <v>42</v>
      </c>
      <c r="B46" s="16" t="inlineStr">
        <is>
          <t>1900416622</t>
        </is>
      </c>
      <c r="C46" s="16" t="inlineStr">
        <is>
          <t>Ajanta Shoes India Pvt. Ltd.</t>
        </is>
      </c>
      <c r="D46" s="8" t="inlineStr">
        <is>
          <t>28/09/2026</t>
        </is>
      </c>
      <c r="E46" s="8" t="inlineStr">
        <is>
          <t>Sep-2026</t>
        </is>
      </c>
      <c r="F46" s="16" t="inlineStr">
        <is>
          <t>Sri Sharvani Traders, Visakhapatnam</t>
        </is>
      </c>
      <c r="G46" s="32" t="n">
        <v>47888.16</v>
      </c>
      <c r="H46" s="32" t="n">
        <v>2394.39</v>
      </c>
      <c r="I46" s="32" t="n">
        <v>50283</v>
      </c>
      <c r="J46" s="8" t="inlineStr">
        <is>
          <t>Verified in Tally</t>
        </is>
      </c>
      <c r="K46" s="8" t="inlineStr">
        <is>
          <t>On Account / 30D</t>
        </is>
      </c>
      <c r="L46" s="8" t="inlineStr">
        <is>
          <t>Yes</t>
        </is>
      </c>
    </row>
    <row r="47" ht="20" customHeight="1">
      <c r="A47" s="4" t="n">
        <v>43</v>
      </c>
      <c r="B47" s="14" t="inlineStr">
        <is>
          <t>1900416634</t>
        </is>
      </c>
      <c r="C47" s="14" t="inlineStr">
        <is>
          <t>Ajanta Shoes India Pvt. Ltd.</t>
        </is>
      </c>
      <c r="D47" s="4" t="inlineStr">
        <is>
          <t>29/09/2026</t>
        </is>
      </c>
      <c r="E47" s="4" t="inlineStr">
        <is>
          <t>Sep-2026</t>
        </is>
      </c>
      <c r="F47" s="14" t="inlineStr">
        <is>
          <t>Sri Sharvani Traders, Visakhapatnam</t>
        </is>
      </c>
      <c r="G47" s="31" t="n">
        <v>37721.64</v>
      </c>
      <c r="H47" s="31" t="n">
        <v>1886.09</v>
      </c>
      <c r="I47" s="31" t="n">
        <v>39608</v>
      </c>
      <c r="J47" s="4" t="inlineStr">
        <is>
          <t>Verified in Tally</t>
        </is>
      </c>
      <c r="K47" s="4" t="inlineStr">
        <is>
          <t>On Account / 30D</t>
        </is>
      </c>
      <c r="L47" s="4" t="inlineStr">
        <is>
          <t>Yes</t>
        </is>
      </c>
    </row>
    <row r="48" ht="20" customHeight="1">
      <c r="A48" s="8" t="n">
        <v>44</v>
      </c>
      <c r="B48" s="16" t="inlineStr">
        <is>
          <t>1900416912</t>
        </is>
      </c>
      <c r="C48" s="16" t="inlineStr">
        <is>
          <t>Ajanta Shoes India Pvt. Ltd.</t>
        </is>
      </c>
      <c r="D48" s="8" t="inlineStr">
        <is>
          <t>29/09/2026</t>
        </is>
      </c>
      <c r="E48" s="8" t="inlineStr">
        <is>
          <t>Sep-2026</t>
        </is>
      </c>
      <c r="F48" s="16" t="inlineStr">
        <is>
          <t>M/s Sri Brundabana Enterprises, Rayagada</t>
        </is>
      </c>
      <c r="G48" s="32" t="n">
        <v>36525.72</v>
      </c>
      <c r="H48" s="32" t="n">
        <v>1826.27</v>
      </c>
      <c r="I48" s="32" t="n">
        <v>38352</v>
      </c>
      <c r="J48" s="8" t="inlineStr">
        <is>
          <t>Verified in Tally</t>
        </is>
      </c>
      <c r="K48" s="8" t="inlineStr">
        <is>
          <t>On Account / 30D</t>
        </is>
      </c>
      <c r="L48" s="8" t="inlineStr">
        <is>
          <t>Yes</t>
        </is>
      </c>
    </row>
    <row r="49" ht="20" customHeight="1">
      <c r="A49" s="4" t="n">
        <v>45</v>
      </c>
      <c r="B49" s="14" t="inlineStr">
        <is>
          <t>1900416927</t>
        </is>
      </c>
      <c r="C49" s="14" t="inlineStr">
        <is>
          <t>Ajanta Shoes India Pvt. Ltd.</t>
        </is>
      </c>
      <c r="D49" s="4" t="inlineStr">
        <is>
          <t>29/09/2026</t>
        </is>
      </c>
      <c r="E49" s="4" t="inlineStr">
        <is>
          <t>Sep-2026</t>
        </is>
      </c>
      <c r="F49" s="14" t="inlineStr">
        <is>
          <t>M/s Sri Brundabana Enterprises, Rayagada</t>
        </is>
      </c>
      <c r="G49" s="31" t="n">
        <v>23500.2</v>
      </c>
      <c r="H49" s="31" t="n">
        <v>1175.02</v>
      </c>
      <c r="I49" s="31" t="n">
        <v>24675</v>
      </c>
      <c r="J49" s="4" t="inlineStr">
        <is>
          <t>Verified in Tally</t>
        </is>
      </c>
      <c r="K49" s="4" t="inlineStr">
        <is>
          <t>On Account / 30D</t>
        </is>
      </c>
      <c r="L49" s="4" t="inlineStr">
        <is>
          <t>Yes</t>
        </is>
      </c>
    </row>
    <row r="50" ht="20" customHeight="1">
      <c r="A50" s="8" t="n">
        <v>46</v>
      </c>
      <c r="B50" s="16" t="inlineStr">
        <is>
          <t>1900416947</t>
        </is>
      </c>
      <c r="C50" s="16" t="inlineStr">
        <is>
          <t>Ajanta Shoes India Pvt. Ltd.</t>
        </is>
      </c>
      <c r="D50" s="8" t="inlineStr">
        <is>
          <t>29/09/2026</t>
        </is>
      </c>
      <c r="E50" s="8" t="inlineStr">
        <is>
          <t>Sep-2026</t>
        </is>
      </c>
      <c r="F50" s="16" t="inlineStr">
        <is>
          <t>M/s Sri Brundabana Enterprises, Rayagada</t>
        </is>
      </c>
      <c r="G50" s="32" t="n">
        <v>23139.18</v>
      </c>
      <c r="H50" s="32" t="n">
        <v>1156.96</v>
      </c>
      <c r="I50" s="32" t="n">
        <v>24296</v>
      </c>
      <c r="J50" s="8" t="inlineStr">
        <is>
          <t>Verified in Tally</t>
        </is>
      </c>
      <c r="K50" s="8" t="inlineStr">
        <is>
          <t>On Account / 30D</t>
        </is>
      </c>
      <c r="L50" s="8" t="inlineStr">
        <is>
          <t>Yes</t>
        </is>
      </c>
    </row>
    <row r="51" ht="20" customHeight="1">
      <c r="A51" s="4" t="n">
        <v>47</v>
      </c>
      <c r="B51" s="14" t="inlineStr">
        <is>
          <t>1900417275</t>
        </is>
      </c>
      <c r="C51" s="14" t="inlineStr">
        <is>
          <t>Ajanta Shoes India Pvt. Ltd.</t>
        </is>
      </c>
      <c r="D51" s="4" t="inlineStr">
        <is>
          <t>29/09/2026</t>
        </is>
      </c>
      <c r="E51" s="4" t="inlineStr">
        <is>
          <t>Sep-2026</t>
        </is>
      </c>
      <c r="F51" s="14" t="inlineStr">
        <is>
          <t>Sri Sharvani Traders, Visakhapatnam</t>
        </is>
      </c>
      <c r="G51" s="31" t="n">
        <v>41721.6</v>
      </c>
      <c r="H51" s="31" t="n">
        <v>2086.08</v>
      </c>
      <c r="I51" s="31" t="n">
        <v>43808</v>
      </c>
      <c r="J51" s="4" t="inlineStr">
        <is>
          <t>Verified in Tally</t>
        </is>
      </c>
      <c r="K51" s="4" t="inlineStr">
        <is>
          <t>On Account / 30D</t>
        </is>
      </c>
      <c r="L51" s="4" t="inlineStr">
        <is>
          <t>Yes</t>
        </is>
      </c>
    </row>
    <row r="52" ht="20" customHeight="1">
      <c r="A52" s="8" t="n">
        <v>48</v>
      </c>
      <c r="B52" s="16" t="inlineStr">
        <is>
          <t>1900417852</t>
        </is>
      </c>
      <c r="C52" s="16" t="inlineStr">
        <is>
          <t>Ajanta Shoes India Pvt. Ltd.</t>
        </is>
      </c>
      <c r="D52" s="8" t="inlineStr">
        <is>
          <t>30/09/2026</t>
        </is>
      </c>
      <c r="E52" s="8" t="inlineStr">
        <is>
          <t>Sep-2026</t>
        </is>
      </c>
      <c r="F52" s="16" t="inlineStr">
        <is>
          <t>M/s Sri Brundabana Enterprises, Malkangiri</t>
        </is>
      </c>
      <c r="G52" s="32" t="n">
        <v>26716.8</v>
      </c>
      <c r="H52" s="32" t="n">
        <v>1335.84</v>
      </c>
      <c r="I52" s="32" t="n">
        <v>28053</v>
      </c>
      <c r="J52" s="8" t="inlineStr">
        <is>
          <t>Verified in Tally</t>
        </is>
      </c>
      <c r="K52" s="8" t="inlineStr">
        <is>
          <t>On Account / 30D</t>
        </is>
      </c>
      <c r="L52" s="8" t="inlineStr">
        <is>
          <t>Yes</t>
        </is>
      </c>
    </row>
    <row r="53" ht="20" customHeight="1">
      <c r="A53" s="4" t="n">
        <v>49</v>
      </c>
      <c r="B53" s="14" t="inlineStr">
        <is>
          <t>1900417853</t>
        </is>
      </c>
      <c r="C53" s="14" t="inlineStr">
        <is>
          <t>Ajanta Shoes India Pvt. Ltd.</t>
        </is>
      </c>
      <c r="D53" s="4" t="inlineStr">
        <is>
          <t>30/09/2026</t>
        </is>
      </c>
      <c r="E53" s="4" t="inlineStr">
        <is>
          <t>Sep-2026</t>
        </is>
      </c>
      <c r="F53" s="14" t="inlineStr">
        <is>
          <t>M/s. Shree Footwear, Srikakulam</t>
        </is>
      </c>
      <c r="G53" s="31" t="n">
        <v>8283.120000000001</v>
      </c>
      <c r="H53" s="31" t="n">
        <v>414.15</v>
      </c>
      <c r="I53" s="31" t="n">
        <v>8697</v>
      </c>
      <c r="J53" s="4" t="inlineStr">
        <is>
          <t>Verified in Tally</t>
        </is>
      </c>
      <c r="K53" s="4" t="inlineStr">
        <is>
          <t>On Account / 30D</t>
        </is>
      </c>
      <c r="L53" s="4" t="inlineStr">
        <is>
          <t>Yes</t>
        </is>
      </c>
    </row>
    <row r="54" ht="20" customHeight="1">
      <c r="A54" s="8" t="n">
        <v>50</v>
      </c>
      <c r="B54" s="16" t="inlineStr">
        <is>
          <t>1900417888</t>
        </is>
      </c>
      <c r="C54" s="16" t="inlineStr">
        <is>
          <t>Ajanta Shoes India Pvt. Ltd.</t>
        </is>
      </c>
      <c r="D54" s="8" t="inlineStr">
        <is>
          <t>30/09/2026</t>
        </is>
      </c>
      <c r="E54" s="8" t="inlineStr">
        <is>
          <t>Sep-2026</t>
        </is>
      </c>
      <c r="F54" s="16" t="inlineStr">
        <is>
          <t>M/s Sri Brundabana Enterprises, Malkangiri</t>
        </is>
      </c>
      <c r="G54" s="32" t="n">
        <v>5696.7</v>
      </c>
      <c r="H54" s="32" t="n">
        <v>284.84</v>
      </c>
      <c r="I54" s="32" t="n">
        <v>5982</v>
      </c>
      <c r="J54" s="8" t="inlineStr">
        <is>
          <t>Verified in Tally</t>
        </is>
      </c>
      <c r="K54" s="8" t="inlineStr">
        <is>
          <t>On Account / 30D</t>
        </is>
      </c>
      <c r="L54" s="8" t="inlineStr">
        <is>
          <t>Yes</t>
        </is>
      </c>
    </row>
    <row r="55" ht="20" customHeight="1">
      <c r="A55" s="4" t="n">
        <v>51</v>
      </c>
      <c r="B55" s="14" t="inlineStr">
        <is>
          <t>1900417889</t>
        </is>
      </c>
      <c r="C55" s="14" t="inlineStr">
        <is>
          <t>Ajanta Shoes India Pvt. Ltd.</t>
        </is>
      </c>
      <c r="D55" s="4" t="inlineStr">
        <is>
          <t>30/09/2026</t>
        </is>
      </c>
      <c r="E55" s="4" t="inlineStr">
        <is>
          <t>Sep-2026</t>
        </is>
      </c>
      <c r="F55" s="14" t="inlineStr">
        <is>
          <t>M/s. Shree Footwear, Srikakulam</t>
        </is>
      </c>
      <c r="G55" s="31" t="n">
        <v>14875.8</v>
      </c>
      <c r="H55" s="31" t="n">
        <v>743.8</v>
      </c>
      <c r="I55" s="31" t="n">
        <v>15620</v>
      </c>
      <c r="J55" s="4" t="inlineStr">
        <is>
          <t>Verified in Tally</t>
        </is>
      </c>
      <c r="K55" s="4" t="inlineStr">
        <is>
          <t>On Account / 30D</t>
        </is>
      </c>
      <c r="L55" s="4" t="inlineStr">
        <is>
          <t>Yes</t>
        </is>
      </c>
    </row>
    <row r="56" ht="20" customHeight="1">
      <c r="A56" s="8" t="n">
        <v>52</v>
      </c>
      <c r="B56" s="16" t="inlineStr">
        <is>
          <t>1900417925</t>
        </is>
      </c>
      <c r="C56" s="16" t="inlineStr">
        <is>
          <t>Ajanta Shoes India Pvt. Ltd.</t>
        </is>
      </c>
      <c r="D56" s="8" t="inlineStr">
        <is>
          <t>30/09/2026</t>
        </is>
      </c>
      <c r="E56" s="8" t="inlineStr">
        <is>
          <t>Sep-2026</t>
        </is>
      </c>
      <c r="F56" s="16" t="inlineStr">
        <is>
          <t>M/s Sri Brundabana Enterprises, Malkangiri</t>
        </is>
      </c>
      <c r="G56" s="32" t="n">
        <v>61896.78</v>
      </c>
      <c r="H56" s="32" t="n">
        <v>3094.85</v>
      </c>
      <c r="I56" s="32" t="n">
        <v>64992</v>
      </c>
      <c r="J56" s="8" t="inlineStr">
        <is>
          <t>Verified in Tally</t>
        </is>
      </c>
      <c r="K56" s="8" t="inlineStr">
        <is>
          <t>On Account / 30D</t>
        </is>
      </c>
      <c r="L56" s="8" t="inlineStr">
        <is>
          <t>Yes</t>
        </is>
      </c>
    </row>
    <row r="57" ht="20" customHeight="1">
      <c r="A57" s="4" t="n">
        <v>53</v>
      </c>
      <c r="B57" s="14" t="inlineStr">
        <is>
          <t>1900417926</t>
        </is>
      </c>
      <c r="C57" s="14" t="inlineStr">
        <is>
          <t>Ajanta Shoes India Pvt. Ltd.</t>
        </is>
      </c>
      <c r="D57" s="4" t="inlineStr">
        <is>
          <t>30/09/2026</t>
        </is>
      </c>
      <c r="E57" s="4" t="inlineStr">
        <is>
          <t>Sep-2026</t>
        </is>
      </c>
      <c r="F57" s="14" t="inlineStr">
        <is>
          <t>M/s. Shree Footwear, Srikakulam</t>
        </is>
      </c>
      <c r="G57" s="31" t="n">
        <v>21536.7</v>
      </c>
      <c r="H57" s="31" t="n">
        <v>1076.84</v>
      </c>
      <c r="I57" s="31" t="n">
        <v>22614</v>
      </c>
      <c r="J57" s="4" t="inlineStr">
        <is>
          <t>Verified in Tally</t>
        </is>
      </c>
      <c r="K57" s="4" t="inlineStr">
        <is>
          <t>On Account / 30D</t>
        </is>
      </c>
      <c r="L57" s="4" t="inlineStr">
        <is>
          <t>Yes</t>
        </is>
      </c>
    </row>
    <row r="58" ht="20" customHeight="1">
      <c r="A58" s="8" t="n">
        <v>54</v>
      </c>
      <c r="B58" s="16" t="inlineStr">
        <is>
          <t>XPL/2327/26-27</t>
        </is>
      </c>
      <c r="C58" s="16" t="inlineStr">
        <is>
          <t>XPANIA FOOTCARE LLP</t>
        </is>
      </c>
      <c r="D58" s="8" t="inlineStr">
        <is>
          <t>08/10/2026</t>
        </is>
      </c>
      <c r="E58" s="8" t="inlineStr">
        <is>
          <t>Oct-2026</t>
        </is>
      </c>
      <c r="F58" s="16" t="inlineStr">
        <is>
          <t>Mahavir Shoe House, Dhenkanal</t>
        </is>
      </c>
      <c r="G58" s="32" t="n">
        <v>134953.2</v>
      </c>
      <c r="H58" s="32" t="n">
        <v>6747.66</v>
      </c>
      <c r="I58" s="32" t="n">
        <v>141701</v>
      </c>
      <c r="J58" s="8" t="inlineStr">
        <is>
          <t>Verified in Tally</t>
        </is>
      </c>
      <c r="K58" s="8" t="inlineStr">
        <is>
          <t>On Account / 30D</t>
        </is>
      </c>
      <c r="L58" s="8" t="inlineStr">
        <is>
          <t>N/A</t>
        </is>
      </c>
    </row>
    <row r="59" ht="20" customHeight="1">
      <c r="A59" s="4" t="n">
        <v>55</v>
      </c>
      <c r="B59" s="14" t="inlineStr">
        <is>
          <t>XPL/2367/26-27</t>
        </is>
      </c>
      <c r="C59" s="14" t="inlineStr">
        <is>
          <t>XPANIA FOOTCARE LLP</t>
        </is>
      </c>
      <c r="D59" s="4" t="inlineStr">
        <is>
          <t>10/10/2026</t>
        </is>
      </c>
      <c r="E59" s="4" t="inlineStr">
        <is>
          <t>Oct-2026</t>
        </is>
      </c>
      <c r="F59" s="14" t="inlineStr">
        <is>
          <t>SHREE ADITYA FOOT FASHION</t>
        </is>
      </c>
      <c r="G59" s="31" t="n">
        <v>105402</v>
      </c>
      <c r="H59" s="31" t="n">
        <v>5270.1</v>
      </c>
      <c r="I59" s="31" t="n">
        <v>110672</v>
      </c>
      <c r="J59" s="4" t="inlineStr">
        <is>
          <t>Verified in Tally</t>
        </is>
      </c>
      <c r="K59" s="4" t="inlineStr">
        <is>
          <t>On Account / 30D</t>
        </is>
      </c>
      <c r="L59" s="4" t="inlineStr">
        <is>
          <t>N/A</t>
        </is>
      </c>
    </row>
    <row r="60" ht="20" customHeight="1">
      <c r="A60" s="8" t="n">
        <v>56</v>
      </c>
      <c r="B60" s="16" t="inlineStr">
        <is>
          <t>XPL/2366/26-27</t>
        </is>
      </c>
      <c r="C60" s="16" t="inlineStr">
        <is>
          <t>XPANIA FOOTCARE LLP</t>
        </is>
      </c>
      <c r="D60" s="8" t="inlineStr">
        <is>
          <t>10/10/2026</t>
        </is>
      </c>
      <c r="E60" s="8" t="inlineStr">
        <is>
          <t>Oct-2026</t>
        </is>
      </c>
      <c r="F60" s="16" t="inlineStr">
        <is>
          <t>M/S. RAJAN TRADERS</t>
        </is>
      </c>
      <c r="G60" s="32" t="n">
        <v>104874</v>
      </c>
      <c r="H60" s="32" t="n">
        <v>5243.7</v>
      </c>
      <c r="I60" s="32" t="n">
        <v>110118</v>
      </c>
      <c r="J60" s="8" t="inlineStr">
        <is>
          <t>Verified in Tally</t>
        </is>
      </c>
      <c r="K60" s="8" t="inlineStr">
        <is>
          <t>On Account / 30D</t>
        </is>
      </c>
      <c r="L60" s="8" t="inlineStr">
        <is>
          <t>N/A</t>
        </is>
      </c>
    </row>
    <row r="61" ht="20" customHeight="1">
      <c r="A61" s="4" t="n">
        <v>57</v>
      </c>
      <c r="B61" s="14" t="inlineStr">
        <is>
          <t>XPL/2369/26-27</t>
        </is>
      </c>
      <c r="C61" s="14" t="inlineStr">
        <is>
          <t>XPANIA FOOTCARE LLP</t>
        </is>
      </c>
      <c r="D61" s="4" t="inlineStr">
        <is>
          <t>12/10/2026</t>
        </is>
      </c>
      <c r="E61" s="4" t="inlineStr">
        <is>
          <t>Oct-2026</t>
        </is>
      </c>
      <c r="F61" s="14" t="inlineStr">
        <is>
          <t>SHREE ADITYA FOOT FASHION</t>
        </is>
      </c>
      <c r="G61" s="31" t="n">
        <v>13752</v>
      </c>
      <c r="H61" s="31" t="n">
        <v>687.6</v>
      </c>
      <c r="I61" s="31" t="n">
        <v>14440</v>
      </c>
      <c r="J61" s="4" t="inlineStr">
        <is>
          <t>Verified in Tally</t>
        </is>
      </c>
      <c r="K61" s="4" t="inlineStr">
        <is>
          <t>On Account / 30D</t>
        </is>
      </c>
      <c r="L61" s="4" t="inlineStr">
        <is>
          <t>N/A</t>
        </is>
      </c>
    </row>
    <row r="62" ht="24" customHeight="1">
      <c r="A62" s="11" t="inlineStr">
        <is>
          <t>TOTAL</t>
        </is>
      </c>
      <c r="B62" s="11" t="inlineStr">
        <is>
          <t>57 Bills</t>
        </is>
      </c>
      <c r="C62" s="33" t="n"/>
      <c r="D62" s="33" t="n"/>
      <c r="E62" s="33" t="n"/>
      <c r="F62" s="33" t="n"/>
      <c r="G62" s="12">
        <f>SUM(G5:G61)</f>
        <v/>
      </c>
      <c r="H62" s="12">
        <f>SUM(H5:H61)</f>
        <v/>
      </c>
      <c r="I62" s="12">
        <f>SUM(I5:I61)</f>
        <v/>
      </c>
      <c r="J62" s="11" t="inlineStr">
        <is>
          <t>100% VERIFIED</t>
        </is>
      </c>
      <c r="K62" s="33" t="n"/>
      <c r="L62" s="33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2" customWidth="1" min="4" max="4"/>
    <col width="18" customWidth="1" min="5" max="5"/>
    <col width="16" customWidth="1" min="6" max="6"/>
    <col width="20" customWidth="1" min="7" max="7"/>
    <col width="20" customWidth="1" min="8" max="8"/>
    <col width="16" customWidth="1" min="9" max="9"/>
    <col width="20" customWidth="1" min="10" max="10"/>
  </cols>
  <sheetData>
    <row r="1" ht="28" customHeight="1">
      <c r="A1" s="1" t="inlineStr">
        <is>
          <t>SKIL LIFESTYLE LLP — AJANTA SHOES SETTLED CREDIT NOTES (CDNR) LOG</t>
        </is>
      </c>
    </row>
    <row r="2" ht="18" customHeight="1">
      <c r="A2" s="2" t="inlineStr">
        <is>
          <t>Official Credit Notes from Ajanta Shoes (India) Pvt. Ltd. (GSTIN: 19AAECB6793N1ZV) Reconciled with Tally Debit Notes</t>
        </is>
      </c>
    </row>
    <row r="4" ht="26" customHeight="1">
      <c r="A4" s="30" t="inlineStr">
        <is>
          <t>Credit Note #</t>
        </is>
      </c>
      <c r="B4" s="30" t="inlineStr">
        <is>
          <t>Filing Month</t>
        </is>
      </c>
      <c r="C4" s="30" t="inlineStr">
        <is>
          <t>Note Date</t>
        </is>
      </c>
      <c r="D4" s="30" t="inlineStr">
        <is>
          <t>Scheme / Incentive Category</t>
        </is>
      </c>
      <c r="E4" s="30" t="inlineStr">
        <is>
          <t>Taxable Basic (Rs)</t>
        </is>
      </c>
      <c r="F4" s="30" t="inlineStr">
        <is>
          <t>IGST 5% (Rs)</t>
        </is>
      </c>
      <c r="G4" s="30" t="inlineStr">
        <is>
          <t>Gross Note Value (Rs)</t>
        </is>
      </c>
      <c r="H4" s="30" t="inlineStr">
        <is>
          <t>Tally Debit Note Vch #</t>
        </is>
      </c>
      <c r="I4" s="30" t="inlineStr">
        <is>
          <t>Tally Entry Date</t>
        </is>
      </c>
      <c r="J4" s="30" t="inlineStr">
        <is>
          <t>Reconciliation Status</t>
        </is>
      </c>
    </row>
    <row r="5" ht="20" customHeight="1">
      <c r="A5" s="4" t="inlineStr">
        <is>
          <t>160005123</t>
        </is>
      </c>
      <c r="B5" s="4" t="inlineStr">
        <is>
          <t>Aug-2026</t>
        </is>
      </c>
      <c r="C5" s="4" t="inlineStr">
        <is>
          <t>16/09/2026</t>
        </is>
      </c>
      <c r="D5" s="25" t="inlineStr">
        <is>
          <t>3.78% Retail Scheme (August 2026 Purchases)</t>
        </is>
      </c>
      <c r="E5" s="31" t="n">
        <v>43710.48</v>
      </c>
      <c r="F5" s="31" t="n">
        <v>2185.52</v>
      </c>
      <c r="G5" s="31" t="n">
        <v>45896</v>
      </c>
      <c r="H5" s="4" t="inlineStr">
        <is>
          <t>Debit Note #3</t>
        </is>
      </c>
      <c r="I5" s="4" t="inlineStr">
        <is>
          <t>16/09/2026</t>
        </is>
      </c>
      <c r="J5" s="7" t="inlineStr">
        <is>
          <t>100% Reconciled</t>
        </is>
      </c>
    </row>
    <row r="6" ht="20" customHeight="1">
      <c r="A6" s="8" t="inlineStr">
        <is>
          <t>160005126</t>
        </is>
      </c>
      <c r="B6" s="8" t="inlineStr">
        <is>
          <t>Aug-2026</t>
        </is>
      </c>
      <c r="C6" s="8" t="inlineStr">
        <is>
          <t>16/09/2026</t>
        </is>
      </c>
      <c r="D6" s="21" t="inlineStr">
        <is>
          <t>3.00% Cash Discount (August Prompt Settlement)</t>
        </is>
      </c>
      <c r="E6" s="32" t="n">
        <v>35763.92</v>
      </c>
      <c r="F6" s="32" t="n">
        <v>1788.2</v>
      </c>
      <c r="G6" s="32" t="n">
        <v>37552.12</v>
      </c>
      <c r="H6" s="8" t="inlineStr">
        <is>
          <t>Debit Note #2</t>
        </is>
      </c>
      <c r="I6" s="8" t="inlineStr">
        <is>
          <t>16/09/2026</t>
        </is>
      </c>
      <c r="J6" s="7" t="inlineStr">
        <is>
          <t>100% Reconciled</t>
        </is>
      </c>
    </row>
    <row r="7" ht="20" customHeight="1">
      <c r="A7" s="4" t="inlineStr">
        <is>
          <t>160005127</t>
        </is>
      </c>
      <c r="B7" s="4" t="inlineStr">
        <is>
          <t>Aug-2026</t>
        </is>
      </c>
      <c r="C7" s="4" t="inlineStr">
        <is>
          <t>16/09/2026</t>
        </is>
      </c>
      <c r="D7" s="25" t="inlineStr">
        <is>
          <t>Rate Difference Rebate (UL 979E/CH+M Settlement)</t>
        </is>
      </c>
      <c r="E7" s="31" t="n">
        <v>2641.86</v>
      </c>
      <c r="F7" s="31" t="n">
        <v>132.09</v>
      </c>
      <c r="G7" s="31" t="n">
        <v>2773.95</v>
      </c>
      <c r="H7" s="4" t="inlineStr">
        <is>
          <t>Debit Note #4</t>
        </is>
      </c>
      <c r="I7" s="4" t="inlineStr">
        <is>
          <t>16/09/2026</t>
        </is>
      </c>
      <c r="J7" s="7" t="inlineStr">
        <is>
          <t>100% Reconciled</t>
        </is>
      </c>
    </row>
    <row r="8" ht="20" customHeight="1">
      <c r="A8" s="8" t="inlineStr">
        <is>
          <t>160005179</t>
        </is>
      </c>
      <c r="B8" s="8" t="inlineStr">
        <is>
          <t>Aug-2026</t>
        </is>
      </c>
      <c r="C8" s="8" t="inlineStr">
        <is>
          <t>16/09/2026</t>
        </is>
      </c>
      <c r="D8" s="21" t="inlineStr">
        <is>
          <t>Non-Bengal Scratch Coupon Scheme (Aug Promo)</t>
        </is>
      </c>
      <c r="E8" s="32" t="n">
        <v>24501.9</v>
      </c>
      <c r="F8" s="32" t="n">
        <v>1225.1</v>
      </c>
      <c r="G8" s="32" t="n">
        <v>25727</v>
      </c>
      <c r="H8" s="8" t="inlineStr">
        <is>
          <t>Debit Note #1</t>
        </is>
      </c>
      <c r="I8" s="8" t="inlineStr">
        <is>
          <t>16/09/2026</t>
        </is>
      </c>
      <c r="J8" s="7" t="inlineStr">
        <is>
          <t>100% Reconciled</t>
        </is>
      </c>
    </row>
    <row r="9" ht="20" customHeight="1">
      <c r="A9" s="4" t="inlineStr">
        <is>
          <t>160005562</t>
        </is>
      </c>
      <c r="B9" s="4" t="inlineStr">
        <is>
          <t>Sep-2026</t>
        </is>
      </c>
      <c r="C9" s="4" t="inlineStr">
        <is>
          <t>30/09/2026</t>
        </is>
      </c>
      <c r="D9" s="25" t="inlineStr">
        <is>
          <t>2.00% QTB / Cash Discount (Sep 2026 Settlement)</t>
        </is>
      </c>
      <c r="E9" s="31" t="n">
        <v>19945.71</v>
      </c>
      <c r="F9" s="31" t="n">
        <v>997.29</v>
      </c>
      <c r="G9" s="31" t="n">
        <v>20943</v>
      </c>
      <c r="H9" s="4" t="inlineStr">
        <is>
          <t>Debit Note #7</t>
        </is>
      </c>
      <c r="I9" s="4" t="inlineStr">
        <is>
          <t>30/09/2026</t>
        </is>
      </c>
      <c r="J9" s="7" t="inlineStr">
        <is>
          <t>100% Reconciled</t>
        </is>
      </c>
    </row>
    <row r="10" ht="20" customHeight="1">
      <c r="A10" s="8" t="inlineStr">
        <is>
          <t>160005580</t>
        </is>
      </c>
      <c r="B10" s="8" t="inlineStr">
        <is>
          <t>Sep-2026</t>
        </is>
      </c>
      <c r="C10" s="8" t="inlineStr">
        <is>
          <t>30/09/2026</t>
        </is>
      </c>
      <c r="D10" s="21" t="inlineStr">
        <is>
          <t>Slab Scheme Bonus (Sep New State Target Bonus)</t>
        </is>
      </c>
      <c r="E10" s="32" t="n">
        <v>24933.33</v>
      </c>
      <c r="F10" s="32" t="n">
        <v>1246.67</v>
      </c>
      <c r="G10" s="32" t="n">
        <v>26180</v>
      </c>
      <c r="H10" s="8" t="inlineStr">
        <is>
          <t>Debit Note #6</t>
        </is>
      </c>
      <c r="I10" s="8" t="inlineStr">
        <is>
          <t>30/09/2026</t>
        </is>
      </c>
      <c r="J10" s="7" t="inlineStr">
        <is>
          <t>100% Reconciled</t>
        </is>
      </c>
    </row>
    <row r="11" ht="20" customHeight="1">
      <c r="A11" s="4" t="inlineStr">
        <is>
          <t>160005610</t>
        </is>
      </c>
      <c r="B11" s="4" t="inlineStr">
        <is>
          <t>Sep-2026</t>
        </is>
      </c>
      <c r="C11" s="4" t="inlineStr">
        <is>
          <t>30/09/2026</t>
        </is>
      </c>
      <c r="D11" s="25" t="inlineStr">
        <is>
          <t>3.78% Retail Scheme (September 2026 Purchases)</t>
        </is>
      </c>
      <c r="E11" s="31" t="n">
        <v>37699.05</v>
      </c>
      <c r="F11" s="31" t="n">
        <v>1884.95</v>
      </c>
      <c r="G11" s="31" t="n">
        <v>39584</v>
      </c>
      <c r="H11" s="4" t="inlineStr">
        <is>
          <t>Debit Note #5</t>
        </is>
      </c>
      <c r="I11" s="4" t="inlineStr">
        <is>
          <t>30/09/2026</t>
        </is>
      </c>
      <c r="J11" s="7" t="inlineStr">
        <is>
          <t>100% Reconciled</t>
        </is>
      </c>
    </row>
    <row r="12" ht="24" customHeight="1">
      <c r="A12" s="11" t="inlineStr">
        <is>
          <t>TOTAL</t>
        </is>
      </c>
      <c r="B12" s="11" t="inlineStr">
        <is>
          <t>7 Notes</t>
        </is>
      </c>
      <c r="C12" s="33" t="n"/>
      <c r="D12" s="33" t="n"/>
      <c r="E12" s="12">
        <f>SUM(E5:E11)</f>
        <v/>
      </c>
      <c r="F12" s="12">
        <f>SUM(F5:F11)</f>
        <v/>
      </c>
      <c r="G12" s="12">
        <f>SUM(G5:G11)</f>
        <v/>
      </c>
      <c r="H12" s="33" t="n"/>
      <c r="I12" s="33" t="n"/>
      <c r="J12" s="11" t="inlineStr">
        <is>
          <t>100% 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2026-10-23T03:33:26Z</dcterms:created>
  <dcterms:modified xmlns:dcterms="http://purl.org/dc/terms/" xmlns:xsi="http://www.w3.org/2001/XMLSchema-instance" xsi:type="dcterms:W3CDTF">2026-10-23T03:33:26Z</dcterms:modified>
</cp:coreProperties>
</file>
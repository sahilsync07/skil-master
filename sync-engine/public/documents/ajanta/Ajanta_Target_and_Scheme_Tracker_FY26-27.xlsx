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 Tracker" sheetId="1" state="visible" r:id="rId1"/>
    <sheet xmlns:r="http://schemas.openxmlformats.org/officeDocument/2006/relationships" name="Quarterly &amp; Annual (QTB-ATB)" sheetId="2" state="visible" r:id="rId2"/>
    <sheet xmlns:r="http://schemas.openxmlformats.org/officeDocument/2006/relationships" name="Inward Bill Quick-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2E8F0"/>
      <sz val="10"/>
    </font>
    <font>
      <name val="Calibri"/>
      <b val="1"/>
      <color rgb="00FFFFFF"/>
      <sz val="9.5"/>
    </font>
    <font>
      <name val="Calibri"/>
      <color rgb="001E293B"/>
      <sz val="9.5"/>
    </font>
    <font>
      <name val="Calibri"/>
      <b val="1"/>
      <color rgb="00047857"/>
      <sz val="9.5"/>
    </font>
    <font>
      <name val="Calibri"/>
      <b val="1"/>
      <color rgb="001E293B"/>
      <sz val="9.5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D1FAE5"/>
        <bgColor rgb="00D1FAE5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164" fontId="4" fillId="4" borderId="1" pivotButton="0" quotePrefix="0" xfId="0"/>
    <xf numFmtId="165" fontId="4" fillId="4" borderId="1" pivotButton="0" quotePrefix="0" xfId="0"/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0" fontId="6" fillId="6" borderId="2" applyAlignment="1" pivotButton="0" quotePrefix="0" xfId="0">
      <alignment horizontal="center" vertical="center"/>
    </xf>
    <xf numFmtId="164" fontId="6" fillId="6" borderId="2" pivotButton="0" quotePrefix="0" xfId="0"/>
    <xf numFmtId="165" fontId="6" fillId="6" borderId="2" pivotButton="0" quotePrefix="0" xfId="0"/>
    <xf numFmtId="0" fontId="4" fillId="4" borderId="1" applyAlignment="1" pivotButton="0" quotePrefix="0" xfId="0">
      <alignment horizontal="left" vertical="center"/>
    </xf>
    <xf numFmtId="10" fontId="4" fillId="4" borderId="1" pivotButton="0" quotePrefix="0" xfId="0"/>
    <xf numFmtId="0" fontId="4" fillId="0" borderId="1" applyAlignment="1" pivotButton="0" quotePrefix="0" xfId="0">
      <alignment horizontal="left" vertical="center"/>
    </xf>
    <xf numFmtId="10" fontId="4" fillId="0" borderId="1" pivotButton="0" quotePrefix="0" xfId="0"/>
    <xf numFmtId="0" fontId="6" fillId="6" borderId="2" applyAlignment="1" pivotButton="0" quotePrefix="0" xfId="0">
      <alignment horizontal="left" vertical="center"/>
    </xf>
    <xf numFmtId="0" fontId="7" fillId="3" borderId="0" pivotButton="0" quotePrefix="0" xfId="0"/>
    <xf numFmtId="0" fontId="6" fillId="0" borderId="1" pivotButton="0" quotePrefix="0" xfId="0"/>
    <xf numFmtId="0" fontId="4" fillId="0" borderId="1" pivotButton="0" quotePrefix="0" xfId="0"/>
    <xf numFmtId="164" fontId="6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6" fillId="4" borderId="1" pivotButton="0" quotePrefix="0" xfId="0"/>
    <xf numFmtId="0" fontId="4" fillId="4" borderId="1" pivotButton="0" quotePrefix="0" xfId="0"/>
    <xf numFmtId="164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6" fillId="0" borderId="1" applyAlignment="1" pivotButton="0" quotePrefix="0" xfId="0">
      <alignment horizontal="right" vertical="center"/>
    </xf>
    <xf numFmtId="10" fontId="6" fillId="4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8" customWidth="1" min="3" max="3"/>
    <col width="20" customWidth="1" min="4" max="4"/>
    <col width="14" customWidth="1" min="5" max="5"/>
    <col width="14" customWidth="1" min="6" max="6"/>
    <col width="19" customWidth="1" min="7" max="7"/>
    <col width="18" customWidth="1" min="8" max="8"/>
    <col width="20" customWidth="1" min="9" max="9"/>
    <col width="22" customWidth="1" min="10" max="10"/>
    <col width="20" customWidth="1" min="11" max="11"/>
    <col width="18" customWidth="1" min="12" max="12"/>
    <col width="22" customWidth="1" min="13" max="13"/>
    <col width="20" customWidth="1" min="14" max="14"/>
    <col width="20" customWidth="1" min="15" max="15"/>
  </cols>
  <sheetData>
    <row r="1" ht="28" customHeight="1">
      <c r="A1" s="1" t="inlineStr">
        <is>
          <t>SKIL LIFESTYLE LLP — AJANTA SHOES TARGET &amp; INCENTIVE TRACKER (FY 2026–27)</t>
        </is>
      </c>
    </row>
    <row r="2" ht="18" customHeight="1">
      <c r="A2" s="2" t="inlineStr">
        <is>
          <t>Annual Target: Rs 1.20 Crore (Basic) | Monthly Target: Rs 10.00 Lakhs (Basic) | Agreement Period: Aug 2026 to Jul 2027</t>
        </is>
      </c>
    </row>
    <row r="4" ht="28" customHeight="1">
      <c r="A4" s="3" t="inlineStr">
        <is>
          <t>Month</t>
        </is>
      </c>
      <c r="B4" s="3" t="inlineStr">
        <is>
          <t>Quarter</t>
        </is>
      </c>
      <c r="C4" s="3" t="inlineStr">
        <is>
          <t>Monthly Target (Rs)</t>
        </is>
      </c>
      <c r="D4" s="3" t="inlineStr">
        <is>
          <t>Actual Inward Basic (Rs)</t>
        </is>
      </c>
      <c r="E4" s="3" t="inlineStr">
        <is>
          <t>Achievement %</t>
        </is>
      </c>
      <c r="F4" s="3" t="inlineStr">
        <is>
          <t>Target Status</t>
        </is>
      </c>
      <c r="G4" s="3" t="inlineStr">
        <is>
          <t>Monthly Bonus 3% (Rs)</t>
        </is>
      </c>
      <c r="H4" s="3" t="inlineStr">
        <is>
          <t>Cash Discount 3% (Rs)</t>
        </is>
      </c>
      <c r="I4" s="3" t="inlineStr">
        <is>
          <t>Retail Scheme 3.78% (Rs)</t>
        </is>
      </c>
      <c r="J4" s="3" t="inlineStr">
        <is>
          <t>Special / Promo Schemes (Rs)</t>
        </is>
      </c>
      <c r="K4" s="3" t="inlineStr">
        <is>
          <t>Total Entitled Basic (Rs)</t>
        </is>
      </c>
      <c r="L4" s="3" t="inlineStr">
        <is>
          <t>IGST 5% on Credit Note (Rs)</t>
        </is>
      </c>
      <c r="M4" s="3" t="inlineStr">
        <is>
          <t>Gross Credit Note Entitled (Rs)</t>
        </is>
      </c>
      <c r="N4" s="3" t="inlineStr">
        <is>
          <t>Credit Note Received (Rs)</t>
        </is>
      </c>
      <c r="O4" s="3" t="inlineStr">
        <is>
          <t>Pending Claim / Variance (Rs)</t>
        </is>
      </c>
    </row>
    <row r="5" ht="20" customHeight="1">
      <c r="A5" s="4" t="inlineStr">
        <is>
          <t>Aug-2026</t>
        </is>
      </c>
      <c r="B5" s="4" t="inlineStr">
        <is>
          <t>Q2</t>
        </is>
      </c>
      <c r="C5" s="5" t="n">
        <v>1000000</v>
      </c>
      <c r="D5" s="5" t="n">
        <v>1192130.34</v>
      </c>
      <c r="E5" s="6">
        <f>IF(C5&gt;0, D5/C5, 0)</f>
        <v/>
      </c>
      <c r="F5" s="7">
        <f>IF(D5=0, "Not Started", IF(E5&gt;=0.99, "Target Met", "Shortfall"))</f>
        <v/>
      </c>
      <c r="G5" s="5">
        <f>IF(E5&gt;=0.99, D5*0.03, 0)</f>
        <v/>
      </c>
      <c r="H5" s="5">
        <f>D5*0.03</f>
        <v/>
      </c>
      <c r="I5" s="5">
        <f>D5*0.0378</f>
        <v/>
      </c>
      <c r="J5" s="5" t="n">
        <v>28500.95</v>
      </c>
      <c r="K5" s="5">
        <f>G5+H5+I5+J5</f>
        <v/>
      </c>
      <c r="L5" s="5">
        <f>K5*0.05</f>
        <v/>
      </c>
      <c r="M5" s="5">
        <f>K5+L5</f>
        <v/>
      </c>
      <c r="N5" s="5" t="n">
        <v>111949.07</v>
      </c>
      <c r="O5" s="5">
        <f>M5-N5</f>
        <v/>
      </c>
    </row>
    <row r="6" ht="20" customHeight="1">
      <c r="A6" s="8" t="inlineStr">
        <is>
          <t>Sep-2026</t>
        </is>
      </c>
      <c r="B6" s="8" t="inlineStr">
        <is>
          <t>Q2</t>
        </is>
      </c>
      <c r="C6" s="9" t="n">
        <v>1000000</v>
      </c>
      <c r="D6" s="9" t="n">
        <v>997322.76</v>
      </c>
      <c r="E6" s="10">
        <f>IF(C6&gt;0, D6/C6, 0)</f>
        <v/>
      </c>
      <c r="F6" s="7">
        <f>IF(D6=0, "Not Started", IF(E6&gt;=0.99, "Target Met", "Shortfall"))</f>
        <v/>
      </c>
      <c r="G6" s="9">
        <f>IF(E6&gt;=0.99, D6*0.03, 0)</f>
        <v/>
      </c>
      <c r="H6" s="9">
        <f>D6*0.03</f>
        <v/>
      </c>
      <c r="I6" s="9">
        <f>D6*0.0378</f>
        <v/>
      </c>
      <c r="J6" s="9" t="n">
        <v>26180</v>
      </c>
      <c r="K6" s="9">
        <f>G6+H6+I6+J6</f>
        <v/>
      </c>
      <c r="L6" s="9">
        <f>K6*0.05</f>
        <v/>
      </c>
      <c r="M6" s="9">
        <f>K6+L6</f>
        <v/>
      </c>
      <c r="N6" s="9" t="n">
        <v>86707</v>
      </c>
      <c r="O6" s="9">
        <f>M6-N6</f>
        <v/>
      </c>
    </row>
    <row r="7" ht="20" customHeight="1">
      <c r="A7" s="4" t="inlineStr">
        <is>
          <t>Oct-2026</t>
        </is>
      </c>
      <c r="B7" s="4" t="inlineStr">
        <is>
          <t>Q3</t>
        </is>
      </c>
      <c r="C7" s="5" t="n">
        <v>1000000</v>
      </c>
      <c r="D7" s="5" t="n">
        <v>0</v>
      </c>
      <c r="E7" s="6">
        <f>IF(C7&gt;0, D7/C7, 0)</f>
        <v/>
      </c>
      <c r="F7" s="4">
        <f>IF(D7=0, "Not Started", IF(E7&gt;=0.99, "Target Met", "Shortfall"))</f>
        <v/>
      </c>
      <c r="G7" s="5">
        <f>IF(E7&gt;=0.99, D7*0.03, 0)</f>
        <v/>
      </c>
      <c r="H7" s="5">
        <f>D7*0.03</f>
        <v/>
      </c>
      <c r="I7" s="5">
        <f>D7*0.0378</f>
        <v/>
      </c>
      <c r="J7" s="5" t="n">
        <v>0</v>
      </c>
      <c r="K7" s="5">
        <f>G7+H7+I7+J7</f>
        <v/>
      </c>
      <c r="L7" s="5">
        <f>K7*0.05</f>
        <v/>
      </c>
      <c r="M7" s="5">
        <f>K7+L7</f>
        <v/>
      </c>
      <c r="N7" s="5" t="n">
        <v>0</v>
      </c>
      <c r="O7" s="5">
        <f>M7-N7</f>
        <v/>
      </c>
    </row>
    <row r="8" ht="20" customHeight="1">
      <c r="A8" s="8" t="inlineStr">
        <is>
          <t>Nov-2026</t>
        </is>
      </c>
      <c r="B8" s="8" t="inlineStr">
        <is>
          <t>Q3</t>
        </is>
      </c>
      <c r="C8" s="9" t="n">
        <v>1000000</v>
      </c>
      <c r="D8" s="9" t="n">
        <v>0</v>
      </c>
      <c r="E8" s="10">
        <f>IF(C8&gt;0, D8/C8, 0)</f>
        <v/>
      </c>
      <c r="F8" s="8">
        <f>IF(D8=0, "Not Started", IF(E8&gt;=0.99, "Target Met", "Shortfall"))</f>
        <v/>
      </c>
      <c r="G8" s="9">
        <f>IF(E8&gt;=0.99, D8*0.03, 0)</f>
        <v/>
      </c>
      <c r="H8" s="9">
        <f>D8*0.03</f>
        <v/>
      </c>
      <c r="I8" s="9">
        <f>D8*0.0378</f>
        <v/>
      </c>
      <c r="J8" s="9" t="n">
        <v>0</v>
      </c>
      <c r="K8" s="9">
        <f>G8+H8+I8+J8</f>
        <v/>
      </c>
      <c r="L8" s="9">
        <f>K8*0.05</f>
        <v/>
      </c>
      <c r="M8" s="9">
        <f>K8+L8</f>
        <v/>
      </c>
      <c r="N8" s="9" t="n">
        <v>0</v>
      </c>
      <c r="O8" s="9">
        <f>M8-N8</f>
        <v/>
      </c>
    </row>
    <row r="9" ht="20" customHeight="1">
      <c r="A9" s="4" t="inlineStr">
        <is>
          <t>Dec-2026</t>
        </is>
      </c>
      <c r="B9" s="4" t="inlineStr">
        <is>
          <t>Q3</t>
        </is>
      </c>
      <c r="C9" s="5" t="n">
        <v>1000000</v>
      </c>
      <c r="D9" s="5" t="n">
        <v>0</v>
      </c>
      <c r="E9" s="6">
        <f>IF(C9&gt;0, D9/C9, 0)</f>
        <v/>
      </c>
      <c r="F9" s="4">
        <f>IF(D9=0, "Not Started", IF(E9&gt;=0.99, "Target Met", "Shortfall"))</f>
        <v/>
      </c>
      <c r="G9" s="5">
        <f>IF(E9&gt;=0.99, D9*0.03, 0)</f>
        <v/>
      </c>
      <c r="H9" s="5">
        <f>D9*0.03</f>
        <v/>
      </c>
      <c r="I9" s="5">
        <f>D9*0.0378</f>
        <v/>
      </c>
      <c r="J9" s="5" t="n">
        <v>0</v>
      </c>
      <c r="K9" s="5">
        <f>G9+H9+I9+J9</f>
        <v/>
      </c>
      <c r="L9" s="5">
        <f>K9*0.05</f>
        <v/>
      </c>
      <c r="M9" s="5">
        <f>K9+L9</f>
        <v/>
      </c>
      <c r="N9" s="5" t="n">
        <v>0</v>
      </c>
      <c r="O9" s="5">
        <f>M9-N9</f>
        <v/>
      </c>
    </row>
    <row r="10" ht="20" customHeight="1">
      <c r="A10" s="8" t="inlineStr">
        <is>
          <t>Jan-2027</t>
        </is>
      </c>
      <c r="B10" s="8" t="inlineStr">
        <is>
          <t>Q4</t>
        </is>
      </c>
      <c r="C10" s="9" t="n">
        <v>1000000</v>
      </c>
      <c r="D10" s="9" t="n">
        <v>0</v>
      </c>
      <c r="E10" s="10">
        <f>IF(C10&gt;0, D10/C10, 0)</f>
        <v/>
      </c>
      <c r="F10" s="8">
        <f>IF(D10=0, "Not Started", IF(E10&gt;=0.99, "Target Met", "Shortfall"))</f>
        <v/>
      </c>
      <c r="G10" s="9">
        <f>IF(E10&gt;=0.99, D10*0.03, 0)</f>
        <v/>
      </c>
      <c r="H10" s="9">
        <f>D10*0.03</f>
        <v/>
      </c>
      <c r="I10" s="9">
        <f>D10*0.0378</f>
        <v/>
      </c>
      <c r="J10" s="9" t="n">
        <v>0</v>
      </c>
      <c r="K10" s="9">
        <f>G10+H10+I10+J10</f>
        <v/>
      </c>
      <c r="L10" s="9">
        <f>K10*0.05</f>
        <v/>
      </c>
      <c r="M10" s="9">
        <f>K10+L10</f>
        <v/>
      </c>
      <c r="N10" s="9" t="n">
        <v>0</v>
      </c>
      <c r="O10" s="9">
        <f>M10-N10</f>
        <v/>
      </c>
    </row>
    <row r="11" ht="20" customHeight="1">
      <c r="A11" s="4" t="inlineStr">
        <is>
          <t>Feb-2027</t>
        </is>
      </c>
      <c r="B11" s="4" t="inlineStr">
        <is>
          <t>Q4</t>
        </is>
      </c>
      <c r="C11" s="5" t="n">
        <v>1000000</v>
      </c>
      <c r="D11" s="5" t="n">
        <v>0</v>
      </c>
      <c r="E11" s="6">
        <f>IF(C11&gt;0, D11/C11, 0)</f>
        <v/>
      </c>
      <c r="F11" s="4">
        <f>IF(D11=0, "Not Started", IF(E11&gt;=0.99, "Target Met", "Shortfall"))</f>
        <v/>
      </c>
      <c r="G11" s="5">
        <f>IF(E11&gt;=0.99, D11*0.03, 0)</f>
        <v/>
      </c>
      <c r="H11" s="5">
        <f>D11*0.03</f>
        <v/>
      </c>
      <c r="I11" s="5">
        <f>D11*0.0378</f>
        <v/>
      </c>
      <c r="J11" s="5" t="n">
        <v>0</v>
      </c>
      <c r="K11" s="5">
        <f>G11+H11+I11+J11</f>
        <v/>
      </c>
      <c r="L11" s="5">
        <f>K11*0.05</f>
        <v/>
      </c>
      <c r="M11" s="5">
        <f>K11+L11</f>
        <v/>
      </c>
      <c r="N11" s="5" t="n">
        <v>0</v>
      </c>
      <c r="O11" s="5">
        <f>M11-N11</f>
        <v/>
      </c>
    </row>
    <row r="12" ht="20" customHeight="1">
      <c r="A12" s="8" t="inlineStr">
        <is>
          <t>Mar-2027</t>
        </is>
      </c>
      <c r="B12" s="8" t="inlineStr">
        <is>
          <t>Q4</t>
        </is>
      </c>
      <c r="C12" s="9" t="n">
        <v>1000000</v>
      </c>
      <c r="D12" s="9" t="n">
        <v>0</v>
      </c>
      <c r="E12" s="10">
        <f>IF(C12&gt;0, D12/C12, 0)</f>
        <v/>
      </c>
      <c r="F12" s="8">
        <f>IF(D12=0, "Not Started", IF(E12&gt;=0.99, "Target Met", "Shortfall"))</f>
        <v/>
      </c>
      <c r="G12" s="9">
        <f>IF(E12&gt;=0.99, D12*0.03, 0)</f>
        <v/>
      </c>
      <c r="H12" s="9">
        <f>D12*0.03</f>
        <v/>
      </c>
      <c r="I12" s="9">
        <f>D12*0.0378</f>
        <v/>
      </c>
      <c r="J12" s="9" t="n">
        <v>0</v>
      </c>
      <c r="K12" s="9">
        <f>G12+H12+I12+J12</f>
        <v/>
      </c>
      <c r="L12" s="9">
        <f>K12*0.05</f>
        <v/>
      </c>
      <c r="M12" s="9">
        <f>K12+L12</f>
        <v/>
      </c>
      <c r="N12" s="9" t="n">
        <v>0</v>
      </c>
      <c r="O12" s="9">
        <f>M12-N12</f>
        <v/>
      </c>
    </row>
    <row r="13" ht="20" customHeight="1">
      <c r="A13" s="4" t="inlineStr">
        <is>
          <t>Apr-2027</t>
        </is>
      </c>
      <c r="B13" s="4" t="inlineStr">
        <is>
          <t>Q1</t>
        </is>
      </c>
      <c r="C13" s="5" t="n">
        <v>1000000</v>
      </c>
      <c r="D13" s="5" t="n">
        <v>0</v>
      </c>
      <c r="E13" s="6">
        <f>IF(C13&gt;0, D13/C13, 0)</f>
        <v/>
      </c>
      <c r="F13" s="4">
        <f>IF(D13=0, "Not Started", IF(E13&gt;=0.99, "Target Met", "Shortfall"))</f>
        <v/>
      </c>
      <c r="G13" s="5">
        <f>IF(E13&gt;=0.99, D13*0.03, 0)</f>
        <v/>
      </c>
      <c r="H13" s="5">
        <f>D13*0.03</f>
        <v/>
      </c>
      <c r="I13" s="5">
        <f>D13*0.0378</f>
        <v/>
      </c>
      <c r="J13" s="5" t="n">
        <v>0</v>
      </c>
      <c r="K13" s="5">
        <f>G13+H13+I13+J13</f>
        <v/>
      </c>
      <c r="L13" s="5">
        <f>K13*0.05</f>
        <v/>
      </c>
      <c r="M13" s="5">
        <f>K13+L13</f>
        <v/>
      </c>
      <c r="N13" s="5" t="n">
        <v>0</v>
      </c>
      <c r="O13" s="5">
        <f>M13-N13</f>
        <v/>
      </c>
    </row>
    <row r="14" ht="20" customHeight="1">
      <c r="A14" s="8" t="inlineStr">
        <is>
          <t>May-2027</t>
        </is>
      </c>
      <c r="B14" s="8" t="inlineStr">
        <is>
          <t>Q1</t>
        </is>
      </c>
      <c r="C14" s="9" t="n">
        <v>1000000</v>
      </c>
      <c r="D14" s="9" t="n">
        <v>0</v>
      </c>
      <c r="E14" s="10">
        <f>IF(C14&gt;0, D14/C14, 0)</f>
        <v/>
      </c>
      <c r="F14" s="8">
        <f>IF(D14=0, "Not Started", IF(E14&gt;=0.99, "Target Met", "Shortfall"))</f>
        <v/>
      </c>
      <c r="G14" s="9">
        <f>IF(E14&gt;=0.99, D14*0.03, 0)</f>
        <v/>
      </c>
      <c r="H14" s="9">
        <f>D14*0.03</f>
        <v/>
      </c>
      <c r="I14" s="9">
        <f>D14*0.0378</f>
        <v/>
      </c>
      <c r="J14" s="9" t="n">
        <v>0</v>
      </c>
      <c r="K14" s="9">
        <f>G14+H14+I14+J14</f>
        <v/>
      </c>
      <c r="L14" s="9">
        <f>K14*0.05</f>
        <v/>
      </c>
      <c r="M14" s="9">
        <f>K14+L14</f>
        <v/>
      </c>
      <c r="N14" s="9" t="n">
        <v>0</v>
      </c>
      <c r="O14" s="9">
        <f>M14-N14</f>
        <v/>
      </c>
    </row>
    <row r="15" ht="20" customHeight="1">
      <c r="A15" s="4" t="inlineStr">
        <is>
          <t>Jun-2027</t>
        </is>
      </c>
      <c r="B15" s="4" t="inlineStr">
        <is>
          <t>Q1</t>
        </is>
      </c>
      <c r="C15" s="5" t="n">
        <v>1000000</v>
      </c>
      <c r="D15" s="5" t="n">
        <v>0</v>
      </c>
      <c r="E15" s="6">
        <f>IF(C15&gt;0, D15/C15, 0)</f>
        <v/>
      </c>
      <c r="F15" s="4">
        <f>IF(D15=0, "Not Started", IF(E15&gt;=0.99, "Target Met", "Shortfall"))</f>
        <v/>
      </c>
      <c r="G15" s="5">
        <f>IF(E15&gt;=0.99, D15*0.03, 0)</f>
        <v/>
      </c>
      <c r="H15" s="5">
        <f>D15*0.03</f>
        <v/>
      </c>
      <c r="I15" s="5">
        <f>D15*0.0378</f>
        <v/>
      </c>
      <c r="J15" s="5" t="n">
        <v>0</v>
      </c>
      <c r="K15" s="5">
        <f>G15+H15+I15+J15</f>
        <v/>
      </c>
      <c r="L15" s="5">
        <f>K15*0.05</f>
        <v/>
      </c>
      <c r="M15" s="5">
        <f>K15+L15</f>
        <v/>
      </c>
      <c r="N15" s="5" t="n">
        <v>0</v>
      </c>
      <c r="O15" s="5">
        <f>M15-N15</f>
        <v/>
      </c>
    </row>
    <row r="16" ht="20" customHeight="1">
      <c r="A16" s="8" t="inlineStr">
        <is>
          <t>Jul-2027</t>
        </is>
      </c>
      <c r="B16" s="8" t="inlineStr">
        <is>
          <t>Q1</t>
        </is>
      </c>
      <c r="C16" s="9" t="n">
        <v>1000000</v>
      </c>
      <c r="D16" s="9" t="n">
        <v>0</v>
      </c>
      <c r="E16" s="10">
        <f>IF(C16&gt;0, D16/C16, 0)</f>
        <v/>
      </c>
      <c r="F16" s="8">
        <f>IF(D16=0, "Not Started", IF(E16&gt;=0.99, "Target Met", "Shortfall"))</f>
        <v/>
      </c>
      <c r="G16" s="9">
        <f>IF(E16&gt;=0.99, D16*0.03, 0)</f>
        <v/>
      </c>
      <c r="H16" s="9">
        <f>D16*0.03</f>
        <v/>
      </c>
      <c r="I16" s="9">
        <f>D16*0.0378</f>
        <v/>
      </c>
      <c r="J16" s="9" t="n">
        <v>0</v>
      </c>
      <c r="K16" s="9">
        <f>G16+H16+I16+J16</f>
        <v/>
      </c>
      <c r="L16" s="9">
        <f>K16*0.05</f>
        <v/>
      </c>
      <c r="M16" s="9">
        <f>K16+L16</f>
        <v/>
      </c>
      <c r="N16" s="9" t="n">
        <v>0</v>
      </c>
      <c r="O16" s="9">
        <f>M16-N16</f>
        <v/>
      </c>
    </row>
    <row r="17" ht="24" customHeight="1">
      <c r="A17" s="11" t="inlineStr">
        <is>
          <t>TOTAL / YTD</t>
        </is>
      </c>
      <c r="B17" s="11" t="inlineStr">
        <is>
          <t>12 Mo</t>
        </is>
      </c>
      <c r="C17" s="12">
        <f>SUM(C5:C16)</f>
        <v/>
      </c>
      <c r="D17" s="12">
        <f>SUM(D5:D16)</f>
        <v/>
      </c>
      <c r="E17" s="13">
        <f>IF(C17&gt;0, D17/C17, 0)</f>
        <v/>
      </c>
      <c r="F17" s="11">
        <f>IF(E17&gt;=0.99, "YTD Met", "Tracking")</f>
        <v/>
      </c>
      <c r="G17" s="12">
        <f>SUM(G5:G16)</f>
        <v/>
      </c>
      <c r="H17" s="12">
        <f>SUM(H5:H16)</f>
        <v/>
      </c>
      <c r="I17" s="12">
        <f>SUM(I5:I16)</f>
        <v/>
      </c>
      <c r="J17" s="12">
        <f>SUM(J5:J16)</f>
        <v/>
      </c>
      <c r="K17" s="12">
        <f>SUM(K5:K16)</f>
        <v/>
      </c>
      <c r="L17" s="12">
        <f>SUM(L5:L16)</f>
        <v/>
      </c>
      <c r="M17" s="12">
        <f>SUM(M5:M16)</f>
        <v/>
      </c>
      <c r="N17" s="12">
        <f>SUM(N5:N16)</f>
        <v/>
      </c>
      <c r="O17" s="12">
        <f>SUM(O5:O16)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22" customWidth="1" min="3" max="3"/>
    <col width="22" customWidth="1" min="4" max="4"/>
    <col width="18" customWidth="1" min="5" max="5"/>
    <col width="15" customWidth="1" min="6" max="6"/>
    <col width="15" customWidth="1" min="7" max="7"/>
    <col width="20" customWidth="1" min="8" max="8"/>
    <col width="24" customWidth="1" min="9" max="9"/>
  </cols>
  <sheetData>
    <row r="1" ht="28" customHeight="1">
      <c r="A1" s="1" t="inlineStr">
        <is>
          <t>SKIL LIFESTYLE LLP — QUARTERLY TURNOVER BONUS (QTB) &amp; ANNUAL BONUS (ATB)</t>
        </is>
      </c>
    </row>
    <row r="2" ht="18" customHeight="1">
      <c r="A2" s="2" t="inlineStr">
        <is>
          <t>QTB: 2.00% on Quarterly Basic Turnover | ATB: 3.00% on Rs 1.20 Cr Annual Basic Target</t>
        </is>
      </c>
    </row>
    <row r="4" ht="26" customHeight="1">
      <c r="A4" s="3" t="inlineStr">
        <is>
          <t>Period / Quarter</t>
        </is>
      </c>
      <c r="B4" s="3" t="inlineStr">
        <is>
          <t>Months Included</t>
        </is>
      </c>
      <c r="C4" s="3" t="inlineStr">
        <is>
          <t>Quarter Target (Basic Rs)</t>
        </is>
      </c>
      <c r="D4" s="3" t="inlineStr">
        <is>
          <t>Actual Basic Turnover (Rs)</t>
        </is>
      </c>
      <c r="E4" s="3" t="inlineStr">
        <is>
          <t>Quarter Achievement %</t>
        </is>
      </c>
      <c r="F4" s="3" t="inlineStr">
        <is>
          <t>Status</t>
        </is>
      </c>
      <c r="G4" s="3" t="inlineStr">
        <is>
          <t>QTB Rate (%)</t>
        </is>
      </c>
      <c r="H4" s="3" t="inlineStr">
        <is>
          <t>QTB Entitled Basic (Rs)</t>
        </is>
      </c>
      <c r="I4" s="3" t="inlineStr">
        <is>
          <t>Gross QTB with 5% IGST (Rs)</t>
        </is>
      </c>
    </row>
    <row r="5" ht="22" customHeight="1">
      <c r="A5" s="4" t="inlineStr">
        <is>
          <t>Q2 (FY 26-27)</t>
        </is>
      </c>
      <c r="B5" s="14" t="inlineStr">
        <is>
          <t>Aug 2026 – Sep 2026 (2 Mo)</t>
        </is>
      </c>
      <c r="C5" s="5" t="n">
        <v>2000000</v>
      </c>
      <c r="D5" s="5">
        <f>'Monthly Target Tracker'!D5+'Monthly Target Tracker'!D6</f>
        <v/>
      </c>
      <c r="E5" s="6">
        <f>IF(C5&gt;0, D5/C5, 0)</f>
        <v/>
      </c>
      <c r="F5" s="4">
        <f>IF(D5=0, "Pending", IF(E5&gt;=0.99, "Achieved", "Shortfall"))</f>
        <v/>
      </c>
      <c r="G5" s="15" t="n">
        <v>0.02</v>
      </c>
      <c r="H5" s="5">
        <f>D5*G5</f>
        <v/>
      </c>
      <c r="I5" s="5">
        <f>H5*1.05</f>
        <v/>
      </c>
    </row>
    <row r="6" ht="22" customHeight="1">
      <c r="A6" s="8" t="inlineStr">
        <is>
          <t>Q3 (FY 26-27)</t>
        </is>
      </c>
      <c r="B6" s="16" t="inlineStr">
        <is>
          <t>Oct 2026 – Dec 2026 (3 Mo)</t>
        </is>
      </c>
      <c r="C6" s="9" t="n">
        <v>3000000</v>
      </c>
      <c r="D6" s="9">
        <f>'Monthly Target Tracker'!D7+'Monthly Target Tracker'!D8+'Monthly Target Tracker'!D9</f>
        <v/>
      </c>
      <c r="E6" s="10">
        <f>IF(C6&gt;0, D6/C6, 0)</f>
        <v/>
      </c>
      <c r="F6" s="8">
        <f>IF(D6=0, "Pending", IF(E6&gt;=0.99, "Achieved", "Shortfall"))</f>
        <v/>
      </c>
      <c r="G6" s="17" t="n">
        <v>0.02</v>
      </c>
      <c r="H6" s="9">
        <f>D6*G6</f>
        <v/>
      </c>
      <c r="I6" s="9">
        <f>H6*1.05</f>
        <v/>
      </c>
    </row>
    <row r="7" ht="22" customHeight="1">
      <c r="A7" s="4" t="inlineStr">
        <is>
          <t>Q4 (FY 26-27)</t>
        </is>
      </c>
      <c r="B7" s="14" t="inlineStr">
        <is>
          <t>Jan 2027 – Mar 2027 (3 Mo)</t>
        </is>
      </c>
      <c r="C7" s="5" t="n">
        <v>3000000</v>
      </c>
      <c r="D7" s="5">
        <f>'Monthly Target Tracker'!D10+'Monthly Target Tracker'!D11+'Monthly Target Tracker'!D12</f>
        <v/>
      </c>
      <c r="E7" s="6">
        <f>IF(C7&gt;0, D7/C7, 0)</f>
        <v/>
      </c>
      <c r="F7" s="4">
        <f>IF(D7=0, "Pending", IF(E7&gt;=0.99, "Achieved", "Shortfall"))</f>
        <v/>
      </c>
      <c r="G7" s="15" t="n">
        <v>0.02</v>
      </c>
      <c r="H7" s="5">
        <f>D7*G7</f>
        <v/>
      </c>
      <c r="I7" s="5">
        <f>H7*1.05</f>
        <v/>
      </c>
    </row>
    <row r="8" ht="22" customHeight="1">
      <c r="A8" s="8" t="inlineStr">
        <is>
          <t>Q1 (FY 27-28)</t>
        </is>
      </c>
      <c r="B8" s="16" t="inlineStr">
        <is>
          <t>Apr 2027 – Jul 2027 (4 Mo)</t>
        </is>
      </c>
      <c r="C8" s="9" t="n">
        <v>4000000</v>
      </c>
      <c r="D8" s="9">
        <f>'Monthly Target Tracker'!D13+'Monthly Target Tracker'!D14+'Monthly Target Tracker'!D15+'Monthly Target Tracker'!D16</f>
        <v/>
      </c>
      <c r="E8" s="10">
        <f>IF(C8&gt;0, D8/C8, 0)</f>
        <v/>
      </c>
      <c r="F8" s="8">
        <f>IF(D8=0, "Pending", IF(E8&gt;=0.99, "Achieved", "Shortfall"))</f>
        <v/>
      </c>
      <c r="G8" s="17" t="n">
        <v>0.02</v>
      </c>
      <c r="H8" s="9">
        <f>D8*G8</f>
        <v/>
      </c>
      <c r="I8" s="9">
        <f>H8*1.05</f>
        <v/>
      </c>
    </row>
    <row r="9" ht="24" customHeight="1">
      <c r="A9" s="11" t="inlineStr">
        <is>
          <t>TOTAL QUARTERLY</t>
        </is>
      </c>
      <c r="B9" s="18" t="inlineStr">
        <is>
          <t>12 Months Total</t>
        </is>
      </c>
      <c r="C9" s="12">
        <f>SUM(C5:C8)</f>
        <v/>
      </c>
      <c r="D9" s="12">
        <f>SUM(D5:D8)</f>
        <v/>
      </c>
      <c r="E9" s="13">
        <f>IF(C9&gt;0, D9/C9, 0)</f>
        <v/>
      </c>
      <c r="F9" s="11">
        <f>IF(E9&gt;=0.99, "Target Met", "In Progress")</f>
        <v/>
      </c>
      <c r="G9" s="11" t="inlineStr">
        <is>
          <t>2.00% Avg</t>
        </is>
      </c>
      <c r="H9" s="12">
        <f>SUM(H5:H8)</f>
        <v/>
      </c>
      <c r="I9" s="12">
        <f>SUM(I5:I8)</f>
        <v/>
      </c>
    </row>
    <row r="11" ht="22" customHeight="1">
      <c r="A11" s="19" t="inlineStr">
        <is>
          <t>ANNUAL TURNOVER BONUS (ATB) AUDIT</t>
        </is>
      </c>
    </row>
    <row r="12" ht="20" customHeight="1">
      <c r="A12" s="20" t="inlineStr">
        <is>
          <t>Annual Commitment Target (Basic)</t>
        </is>
      </c>
      <c r="B12" s="21" t="inlineStr">
        <is>
          <t>Contract Section 2.0 (Aug 2026 to Jul 2027)</t>
        </is>
      </c>
      <c r="C12" s="22" t="n">
        <v>12000000</v>
      </c>
      <c r="D12" s="23" t="n"/>
      <c r="E12" s="23" t="n"/>
      <c r="F12" s="23" t="n"/>
      <c r="G12" s="23" t="n"/>
      <c r="H12" s="23" t="n"/>
      <c r="I12" s="23" t="n"/>
    </row>
    <row r="13" ht="20" customHeight="1">
      <c r="A13" s="24" t="inlineStr">
        <is>
          <t>YTD Actual Basic Turnover Achieved</t>
        </is>
      </c>
      <c r="B13" s="25" t="inlineStr">
        <is>
          <t>Sum of 12 Months Basic Purchases from Ajanta</t>
        </is>
      </c>
      <c r="C13" s="26">
        <f>D9</f>
        <v/>
      </c>
      <c r="D13" s="27" t="n"/>
      <c r="E13" s="27" t="n"/>
      <c r="F13" s="27" t="n"/>
      <c r="G13" s="27" t="n"/>
      <c r="H13" s="27" t="n"/>
      <c r="I13" s="27" t="n"/>
    </row>
    <row r="14" ht="20" customHeight="1">
      <c r="A14" s="20" t="inlineStr">
        <is>
          <t>Annual Progress %</t>
        </is>
      </c>
      <c r="B14" s="21">
        <f>IF(C12&gt;0, C13/C12, 0)</f>
        <v/>
      </c>
      <c r="C14" s="28" t="inlineStr"/>
      <c r="D14" s="23" t="n"/>
      <c r="E14" s="23" t="n"/>
      <c r="F14" s="23" t="n"/>
      <c r="G14" s="23" t="n"/>
      <c r="H14" s="23" t="n"/>
      <c r="I14" s="23" t="n"/>
    </row>
    <row r="15" ht="20" customHeight="1">
      <c r="A15" s="24" t="inlineStr">
        <is>
          <t>Annual Turnover Bonus Rate (ATB)</t>
        </is>
      </c>
      <c r="B15" s="25" t="inlineStr">
        <is>
          <t>Contract Additional Bonus Clause 1</t>
        </is>
      </c>
      <c r="C15" s="29" t="n">
        <v>0.03</v>
      </c>
      <c r="D15" s="27" t="n"/>
      <c r="E15" s="27" t="n"/>
      <c r="F15" s="27" t="n"/>
      <c r="G15" s="27" t="n"/>
      <c r="H15" s="27" t="n"/>
      <c r="I15" s="27" t="n"/>
    </row>
    <row r="16" ht="20" customHeight="1">
      <c r="A16" s="20" t="inlineStr">
        <is>
          <t>Projected Annual ATB Payout (Basic)</t>
        </is>
      </c>
      <c r="B16" s="21">
        <f>C13*C15</f>
        <v/>
      </c>
      <c r="C16" s="22" t="inlineStr"/>
      <c r="D16" s="23" t="n"/>
      <c r="E16" s="23" t="n"/>
      <c r="F16" s="23" t="n"/>
      <c r="G16" s="23" t="n"/>
      <c r="H16" s="23" t="n"/>
      <c r="I16" s="23" t="n"/>
    </row>
    <row r="17" ht="20" customHeight="1">
      <c r="A17" s="24" t="inlineStr">
        <is>
          <t>Gross ATB with 5% IGST Credit Note</t>
        </is>
      </c>
      <c r="B17" s="25">
        <f>C16*1.05</f>
        <v/>
      </c>
      <c r="C17" s="26" t="inlineStr"/>
      <c r="D17" s="27" t="n"/>
      <c r="E17" s="27" t="n"/>
      <c r="F17" s="27" t="n"/>
      <c r="G17" s="27" t="n"/>
      <c r="H17" s="27" t="n"/>
      <c r="I17" s="27" t="n"/>
    </row>
  </sheetData>
  <mergeCells count="3">
    <mergeCell ref="A1:I1"/>
    <mergeCell ref="A2:I2"/>
    <mergeCell ref="A11:I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2" customWidth="1" min="4" max="4"/>
    <col width="32" customWidth="1" min="5" max="5"/>
    <col width="18" customWidth="1" min="6" max="6"/>
    <col width="16" customWidth="1" min="7" max="7"/>
    <col width="18" customWidth="1" min="8" max="8"/>
    <col width="14" customWidth="1" min="9" max="9"/>
    <col width="24" customWidth="1" min="10" max="10"/>
  </cols>
  <sheetData>
    <row r="1" ht="28" customHeight="1">
      <c r="A1" s="1" t="inlineStr">
        <is>
          <t>SKIL LIFESTYLE LLP — AJANTA INWARD BILL QUICK-LOG TEMPLATE</t>
        </is>
      </c>
    </row>
    <row r="2" ht="18" customHeight="1">
      <c r="A2" s="2" t="inlineStr">
        <is>
          <t>Paste new invoices here. Basic amounts automatically feed into monthly and quarterly trackers.</t>
        </is>
      </c>
    </row>
    <row r="4" ht="26" customHeight="1">
      <c r="A4" s="30" t="inlineStr">
        <is>
          <t>Sl #</t>
        </is>
      </c>
      <c r="B4" s="30" t="inlineStr">
        <is>
          <t>Invoice Number</t>
        </is>
      </c>
      <c r="C4" s="30" t="inlineStr">
        <is>
          <t>Invoice Date</t>
        </is>
      </c>
      <c r="D4" s="30" t="inlineStr">
        <is>
          <t>Month</t>
        </is>
      </c>
      <c r="E4" s="30" t="inlineStr">
        <is>
          <t>Consignee / Party</t>
        </is>
      </c>
      <c r="F4" s="30" t="inlineStr">
        <is>
          <t>Basic Amount (Rs)</t>
        </is>
      </c>
      <c r="G4" s="30" t="inlineStr">
        <is>
          <t>IGST 5% (Rs)</t>
        </is>
      </c>
      <c r="H4" s="30" t="inlineStr">
        <is>
          <t>Invoice Total (Rs)</t>
        </is>
      </c>
      <c r="I4" s="30" t="inlineStr">
        <is>
          <t>Payment Date</t>
        </is>
      </c>
      <c r="J4" s="30" t="inlineStr">
        <is>
          <t>Prompt Payment CD Eligible?</t>
        </is>
      </c>
    </row>
    <row r="5" ht="20" customHeight="1">
      <c r="A5" s="4" t="n">
        <v>1</v>
      </c>
      <c r="B5" s="25" t="n"/>
      <c r="C5" s="25" t="n"/>
      <c r="D5" s="25" t="n"/>
      <c r="E5" s="25" t="n"/>
      <c r="F5" s="25" t="n"/>
      <c r="G5" s="5">
        <f>IF(F5&gt;0, F5*0.05, 0)</f>
        <v/>
      </c>
      <c r="H5" s="5">
        <f>IF(F5&gt;0, F5+G5, 0)</f>
        <v/>
      </c>
      <c r="I5" s="25" t="n"/>
      <c r="J5" s="4" t="inlineStr">
        <is>
          <t>Yes</t>
        </is>
      </c>
    </row>
    <row r="6" ht="20" customHeight="1">
      <c r="A6" s="8" t="n">
        <v>2</v>
      </c>
      <c r="B6" s="21" t="n"/>
      <c r="C6" s="21" t="n"/>
      <c r="D6" s="21" t="n"/>
      <c r="E6" s="21" t="n"/>
      <c r="F6" s="21" t="n"/>
      <c r="G6" s="9">
        <f>IF(F6&gt;0, F6*0.05, 0)</f>
        <v/>
      </c>
      <c r="H6" s="9">
        <f>IF(F6&gt;0, F6+G6, 0)</f>
        <v/>
      </c>
      <c r="I6" s="21" t="n"/>
      <c r="J6" s="8" t="inlineStr">
        <is>
          <t>Yes</t>
        </is>
      </c>
    </row>
    <row r="7" ht="20" customHeight="1">
      <c r="A7" s="4" t="n">
        <v>3</v>
      </c>
      <c r="B7" s="25" t="n"/>
      <c r="C7" s="25" t="n"/>
      <c r="D7" s="25" t="n"/>
      <c r="E7" s="25" t="n"/>
      <c r="F7" s="25" t="n"/>
      <c r="G7" s="5">
        <f>IF(F7&gt;0, F7*0.05, 0)</f>
        <v/>
      </c>
      <c r="H7" s="5">
        <f>IF(F7&gt;0, F7+G7, 0)</f>
        <v/>
      </c>
      <c r="I7" s="25" t="n"/>
      <c r="J7" s="4" t="inlineStr">
        <is>
          <t>Yes</t>
        </is>
      </c>
    </row>
    <row r="8" ht="20" customHeight="1">
      <c r="A8" s="8" t="n">
        <v>4</v>
      </c>
      <c r="B8" s="21" t="n"/>
      <c r="C8" s="21" t="n"/>
      <c r="D8" s="21" t="n"/>
      <c r="E8" s="21" t="n"/>
      <c r="F8" s="21" t="n"/>
      <c r="G8" s="9">
        <f>IF(F8&gt;0, F8*0.05, 0)</f>
        <v/>
      </c>
      <c r="H8" s="9">
        <f>IF(F8&gt;0, F8+G8, 0)</f>
        <v/>
      </c>
      <c r="I8" s="21" t="n"/>
      <c r="J8" s="8" t="inlineStr">
        <is>
          <t>Yes</t>
        </is>
      </c>
    </row>
    <row r="9" ht="20" customHeight="1">
      <c r="A9" s="4" t="n">
        <v>5</v>
      </c>
      <c r="B9" s="25" t="n"/>
      <c r="C9" s="25" t="n"/>
      <c r="D9" s="25" t="n"/>
      <c r="E9" s="25" t="n"/>
      <c r="F9" s="25" t="n"/>
      <c r="G9" s="5">
        <f>IF(F9&gt;0, F9*0.05, 0)</f>
        <v/>
      </c>
      <c r="H9" s="5">
        <f>IF(F9&gt;0, F9+G9, 0)</f>
        <v/>
      </c>
      <c r="I9" s="25" t="n"/>
      <c r="J9" s="4" t="inlineStr">
        <is>
          <t>Yes</t>
        </is>
      </c>
    </row>
    <row r="10" ht="20" customHeight="1">
      <c r="A10" s="8" t="n">
        <v>6</v>
      </c>
      <c r="B10" s="21" t="n"/>
      <c r="C10" s="21" t="n"/>
      <c r="D10" s="21" t="n"/>
      <c r="E10" s="21" t="n"/>
      <c r="F10" s="21" t="n"/>
      <c r="G10" s="9">
        <f>IF(F10&gt;0, F10*0.05, 0)</f>
        <v/>
      </c>
      <c r="H10" s="9">
        <f>IF(F10&gt;0, F10+G10, 0)</f>
        <v/>
      </c>
      <c r="I10" s="21" t="n"/>
      <c r="J10" s="8" t="inlineStr">
        <is>
          <t>Yes</t>
        </is>
      </c>
    </row>
    <row r="11" ht="20" customHeight="1">
      <c r="A11" s="4" t="n">
        <v>7</v>
      </c>
      <c r="B11" s="25" t="n"/>
      <c r="C11" s="25" t="n"/>
      <c r="D11" s="25" t="n"/>
      <c r="E11" s="25" t="n"/>
      <c r="F11" s="25" t="n"/>
      <c r="G11" s="5">
        <f>IF(F11&gt;0, F11*0.05, 0)</f>
        <v/>
      </c>
      <c r="H11" s="5">
        <f>IF(F11&gt;0, F11+G11, 0)</f>
        <v/>
      </c>
      <c r="I11" s="25" t="n"/>
      <c r="J11" s="4" t="inlineStr">
        <is>
          <t>Yes</t>
        </is>
      </c>
    </row>
    <row r="12" ht="20" customHeight="1">
      <c r="A12" s="8" t="n">
        <v>8</v>
      </c>
      <c r="B12" s="21" t="n"/>
      <c r="C12" s="21" t="n"/>
      <c r="D12" s="21" t="n"/>
      <c r="E12" s="21" t="n"/>
      <c r="F12" s="21" t="n"/>
      <c r="G12" s="9">
        <f>IF(F12&gt;0, F12*0.05, 0)</f>
        <v/>
      </c>
      <c r="H12" s="9">
        <f>IF(F12&gt;0, F12+G12, 0)</f>
        <v/>
      </c>
      <c r="I12" s="21" t="n"/>
      <c r="J12" s="8" t="inlineStr">
        <is>
          <t>Yes</t>
        </is>
      </c>
    </row>
    <row r="13" ht="20" customHeight="1">
      <c r="A13" s="4" t="n">
        <v>9</v>
      </c>
      <c r="B13" s="25" t="n"/>
      <c r="C13" s="25" t="n"/>
      <c r="D13" s="25" t="n"/>
      <c r="E13" s="25" t="n"/>
      <c r="F13" s="25" t="n"/>
      <c r="G13" s="5">
        <f>IF(F13&gt;0, F13*0.05, 0)</f>
        <v/>
      </c>
      <c r="H13" s="5">
        <f>IF(F13&gt;0, F13+G13, 0)</f>
        <v/>
      </c>
      <c r="I13" s="25" t="n"/>
      <c r="J13" s="4" t="inlineStr">
        <is>
          <t>Yes</t>
        </is>
      </c>
    </row>
    <row r="14" ht="20" customHeight="1">
      <c r="A14" s="8" t="n">
        <v>10</v>
      </c>
      <c r="B14" s="21" t="n"/>
      <c r="C14" s="21" t="n"/>
      <c r="D14" s="21" t="n"/>
      <c r="E14" s="21" t="n"/>
      <c r="F14" s="21" t="n"/>
      <c r="G14" s="9">
        <f>IF(F14&gt;0, F14*0.05, 0)</f>
        <v/>
      </c>
      <c r="H14" s="9">
        <f>IF(F14&gt;0, F14+G14, 0)</f>
        <v/>
      </c>
      <c r="I14" s="21" t="n"/>
      <c r="J14" s="8" t="inlineStr">
        <is>
          <t>Yes</t>
        </is>
      </c>
    </row>
    <row r="15" ht="20" customHeight="1">
      <c r="A15" s="4" t="n">
        <v>11</v>
      </c>
      <c r="B15" s="25" t="n"/>
      <c r="C15" s="25" t="n"/>
      <c r="D15" s="25" t="n"/>
      <c r="E15" s="25" t="n"/>
      <c r="F15" s="25" t="n"/>
      <c r="G15" s="5">
        <f>IF(F15&gt;0, F15*0.05, 0)</f>
        <v/>
      </c>
      <c r="H15" s="5">
        <f>IF(F15&gt;0, F15+G15, 0)</f>
        <v/>
      </c>
      <c r="I15" s="25" t="n"/>
      <c r="J15" s="4" t="inlineStr">
        <is>
          <t>Yes</t>
        </is>
      </c>
    </row>
    <row r="16" ht="20" customHeight="1">
      <c r="A16" s="8" t="n">
        <v>12</v>
      </c>
      <c r="B16" s="21" t="n"/>
      <c r="C16" s="21" t="n"/>
      <c r="D16" s="21" t="n"/>
      <c r="E16" s="21" t="n"/>
      <c r="F16" s="21" t="n"/>
      <c r="G16" s="9">
        <f>IF(F16&gt;0, F16*0.05, 0)</f>
        <v/>
      </c>
      <c r="H16" s="9">
        <f>IF(F16&gt;0, F16+G16, 0)</f>
        <v/>
      </c>
      <c r="I16" s="21" t="n"/>
      <c r="J16" s="8" t="inlineStr">
        <is>
          <t>Yes</t>
        </is>
      </c>
    </row>
    <row r="17" ht="20" customHeight="1">
      <c r="A17" s="4" t="n">
        <v>13</v>
      </c>
      <c r="B17" s="25" t="n"/>
      <c r="C17" s="25" t="n"/>
      <c r="D17" s="25" t="n"/>
      <c r="E17" s="25" t="n"/>
      <c r="F17" s="25" t="n"/>
      <c r="G17" s="5">
        <f>IF(F17&gt;0, F17*0.05, 0)</f>
        <v/>
      </c>
      <c r="H17" s="5">
        <f>IF(F17&gt;0, F17+G17, 0)</f>
        <v/>
      </c>
      <c r="I17" s="25" t="n"/>
      <c r="J17" s="4" t="inlineStr">
        <is>
          <t>Yes</t>
        </is>
      </c>
    </row>
    <row r="18" ht="20" customHeight="1">
      <c r="A18" s="8" t="n">
        <v>14</v>
      </c>
      <c r="B18" s="21" t="n"/>
      <c r="C18" s="21" t="n"/>
      <c r="D18" s="21" t="n"/>
      <c r="E18" s="21" t="n"/>
      <c r="F18" s="21" t="n"/>
      <c r="G18" s="9">
        <f>IF(F18&gt;0, F18*0.05, 0)</f>
        <v/>
      </c>
      <c r="H18" s="9">
        <f>IF(F18&gt;0, F18+G18, 0)</f>
        <v/>
      </c>
      <c r="I18" s="21" t="n"/>
      <c r="J18" s="8" t="inlineStr">
        <is>
          <t>Yes</t>
        </is>
      </c>
    </row>
    <row r="19" ht="20" customHeight="1">
      <c r="A19" s="4" t="n">
        <v>15</v>
      </c>
      <c r="B19" s="25" t="n"/>
      <c r="C19" s="25" t="n"/>
      <c r="D19" s="25" t="n"/>
      <c r="E19" s="25" t="n"/>
      <c r="F19" s="25" t="n"/>
      <c r="G19" s="5">
        <f>IF(F19&gt;0, F19*0.05, 0)</f>
        <v/>
      </c>
      <c r="H19" s="5">
        <f>IF(F19&gt;0, F19+G19, 0)</f>
        <v/>
      </c>
      <c r="I19" s="25" t="n"/>
      <c r="J19" s="4" t="inlineStr">
        <is>
          <t>Yes</t>
        </is>
      </c>
    </row>
    <row r="20" ht="20" customHeight="1">
      <c r="A20" s="8" t="n">
        <v>16</v>
      </c>
      <c r="B20" s="21" t="n"/>
      <c r="C20" s="21" t="n"/>
      <c r="D20" s="21" t="n"/>
      <c r="E20" s="21" t="n"/>
      <c r="F20" s="21" t="n"/>
      <c r="G20" s="9">
        <f>IF(F20&gt;0, F20*0.05, 0)</f>
        <v/>
      </c>
      <c r="H20" s="9">
        <f>IF(F20&gt;0, F20+G20, 0)</f>
        <v/>
      </c>
      <c r="I20" s="21" t="n"/>
      <c r="J20" s="8" t="inlineStr">
        <is>
          <t>Yes</t>
        </is>
      </c>
    </row>
    <row r="21" ht="20" customHeight="1">
      <c r="A21" s="4" t="n">
        <v>17</v>
      </c>
      <c r="B21" s="25" t="n"/>
      <c r="C21" s="25" t="n"/>
      <c r="D21" s="25" t="n"/>
      <c r="E21" s="25" t="n"/>
      <c r="F21" s="25" t="n"/>
      <c r="G21" s="5">
        <f>IF(F21&gt;0, F21*0.05, 0)</f>
        <v/>
      </c>
      <c r="H21" s="5">
        <f>IF(F21&gt;0, F21+G21, 0)</f>
        <v/>
      </c>
      <c r="I21" s="25" t="n"/>
      <c r="J21" s="4" t="inlineStr">
        <is>
          <t>Yes</t>
        </is>
      </c>
    </row>
    <row r="22" ht="20" customHeight="1">
      <c r="A22" s="8" t="n">
        <v>18</v>
      </c>
      <c r="B22" s="21" t="n"/>
      <c r="C22" s="21" t="n"/>
      <c r="D22" s="21" t="n"/>
      <c r="E22" s="21" t="n"/>
      <c r="F22" s="21" t="n"/>
      <c r="G22" s="9">
        <f>IF(F22&gt;0, F22*0.05, 0)</f>
        <v/>
      </c>
      <c r="H22" s="9">
        <f>IF(F22&gt;0, F22+G22, 0)</f>
        <v/>
      </c>
      <c r="I22" s="21" t="n"/>
      <c r="J22" s="8" t="inlineStr">
        <is>
          <t>Yes</t>
        </is>
      </c>
    </row>
    <row r="23" ht="20" customHeight="1">
      <c r="A23" s="4" t="n">
        <v>19</v>
      </c>
      <c r="B23" s="25" t="n"/>
      <c r="C23" s="25" t="n"/>
      <c r="D23" s="25" t="n"/>
      <c r="E23" s="25" t="n"/>
      <c r="F23" s="25" t="n"/>
      <c r="G23" s="5">
        <f>IF(F23&gt;0, F23*0.05, 0)</f>
        <v/>
      </c>
      <c r="H23" s="5">
        <f>IF(F23&gt;0, F23+G23, 0)</f>
        <v/>
      </c>
      <c r="I23" s="25" t="n"/>
      <c r="J23" s="4" t="inlineStr">
        <is>
          <t>Yes</t>
        </is>
      </c>
    </row>
    <row r="24" ht="20" customHeight="1">
      <c r="A24" s="8" t="n">
        <v>20</v>
      </c>
      <c r="B24" s="21" t="n"/>
      <c r="C24" s="21" t="n"/>
      <c r="D24" s="21" t="n"/>
      <c r="E24" s="21" t="n"/>
      <c r="F24" s="21" t="n"/>
      <c r="G24" s="9">
        <f>IF(F24&gt;0, F24*0.05, 0)</f>
        <v/>
      </c>
      <c r="H24" s="9">
        <f>IF(F24&gt;0, F24+G24, 0)</f>
        <v/>
      </c>
      <c r="I24" s="21" t="n"/>
      <c r="J24" s="8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2026-10-23T03:23:13Z</dcterms:created>
  <dcterms:modified xmlns:dcterms="http://purl.org/dc/terms/" xmlns:xsi="http://www.w3.org/2001/XMLSchema-instance" xsi:type="dcterms:W3CDTF">2026-10-23T03:23:13Z</dcterms:modified>
</cp:coreProperties>
</file>
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der Margin Discrepancies" sheetId="1" state="visible" r:id="rId1"/>
  </sheets>
  <definedNames>
    <definedName name="_xlnm._FilterDatabase" localSheetId="0" hidden="1">'Under Margin Discrepancies'!$A$1:$I$6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C6600"/>
      <sz val="10"/>
    </font>
    <font>
      <name val="Arial"/>
      <color rgb="00FF0000"/>
      <sz val="10"/>
    </font>
    <font>
      <name val="Arial"/>
      <b val="1"/>
      <color rgb="00FF0000"/>
      <sz val="10"/>
    </font>
    <font>
      <name val="Arial"/>
      <b val="1"/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4" fontId="6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0" customWidth="1" min="3" max="3"/>
    <col width="14" customWidth="1" min="4" max="4"/>
    <col width="14" customWidth="1" min="5" max="5"/>
    <col width="28" customWidth="1" min="6" max="6"/>
    <col width="12" customWidth="1" min="7" max="7"/>
    <col width="8" customWidth="1" min="8" max="8"/>
    <col width="14" customWidth="1" min="9" max="9"/>
  </cols>
  <sheetData>
    <row r="1" ht="36" customHeight="1">
      <c r="A1" s="1" t="inlineStr">
        <is>
          <t>Invoice #</t>
        </is>
      </c>
      <c r="B1" s="1" t="inlineStr">
        <is>
          <t>Stock Item Description</t>
        </is>
      </c>
      <c r="C1" s="1" t="inlineStr">
        <is>
          <t>MRP
(Rs)</t>
        </is>
      </c>
      <c r="D1" s="1" t="inlineStr">
        <is>
          <t>Landed Cost
(5% GST)</t>
        </is>
      </c>
      <c r="E1" s="1" t="inlineStr">
        <is>
          <t>Net Margin %</t>
        </is>
      </c>
      <c r="F1" s="1" t="inlineStr">
        <is>
          <t>Expected Buy Rate
@ 37.5% Disc. (Incl. GST)</t>
        </is>
      </c>
      <c r="G1" s="1" t="inlineStr">
        <is>
          <t>Difference</t>
        </is>
      </c>
      <c r="H1" s="1" t="inlineStr">
        <is>
          <t>Pairs</t>
        </is>
      </c>
      <c r="I1" s="1" t="inlineStr">
        <is>
          <t>Total
Difference</t>
        </is>
      </c>
    </row>
    <row r="2" ht="18" customHeight="1">
      <c r="A2" s="2" t="inlineStr">
        <is>
          <t>1900412399</t>
        </is>
      </c>
      <c r="B2" s="2" t="inlineStr">
        <is>
          <t>L-ORTHO SOFT 01 BROWN SZ-5X8-(60 PR)</t>
        </is>
      </c>
      <c r="C2" s="3" t="n">
        <v>160</v>
      </c>
      <c r="D2" s="3" t="n">
        <v>100.86</v>
      </c>
      <c r="E2" s="4" t="inlineStr">
        <is>
          <t>36.96%</t>
        </is>
      </c>
      <c r="F2" s="3" t="n">
        <v>100</v>
      </c>
      <c r="G2" s="5" t="n">
        <v>-0.86</v>
      </c>
      <c r="H2" s="6" t="n">
        <v>60</v>
      </c>
      <c r="I2" s="7" t="n">
        <v>-51.6</v>
      </c>
    </row>
    <row r="3" ht="18" customHeight="1">
      <c r="A3" s="2" t="inlineStr">
        <is>
          <t>1900412399</t>
        </is>
      </c>
      <c r="B3" s="2" t="inlineStr">
        <is>
          <t>L-ORTHO SOFT 01 WINE SZ-5X8-(60 PR)</t>
        </is>
      </c>
      <c r="C3" s="3" t="n">
        <v>160</v>
      </c>
      <c r="D3" s="3" t="n">
        <v>100.86</v>
      </c>
      <c r="E3" s="4" t="inlineStr">
        <is>
          <t>36.96%</t>
        </is>
      </c>
      <c r="F3" s="3" t="n">
        <v>100</v>
      </c>
      <c r="G3" s="5" t="n">
        <v>-0.86</v>
      </c>
      <c r="H3" s="6" t="n">
        <v>60</v>
      </c>
      <c r="I3" s="7" t="n">
        <v>-51.6</v>
      </c>
    </row>
    <row r="4" ht="18" customHeight="1">
      <c r="A4" s="2" t="inlineStr">
        <is>
          <t>1900416622</t>
        </is>
      </c>
      <c r="B4" s="2" t="inlineStr">
        <is>
          <t>CEL 1023 MAGENTA SZ-5X8-(60 PR)</t>
        </is>
      </c>
      <c r="C4" s="3" t="n">
        <v>120</v>
      </c>
      <c r="D4" s="3" t="n">
        <v>75.65000000000001</v>
      </c>
      <c r="E4" s="4" t="inlineStr">
        <is>
          <t>36.96%</t>
        </is>
      </c>
      <c r="F4" s="3" t="n">
        <v>75</v>
      </c>
      <c r="G4" s="5" t="n">
        <v>-0.65</v>
      </c>
      <c r="H4" s="6" t="n">
        <v>60</v>
      </c>
      <c r="I4" s="7" t="n">
        <v>-39</v>
      </c>
    </row>
    <row r="5" ht="18" customHeight="1">
      <c r="A5" s="2" t="inlineStr">
        <is>
          <t>1900416634</t>
        </is>
      </c>
      <c r="B5" s="2" t="inlineStr">
        <is>
          <t>LMB 07 ONION SZ-5X7-(60 PR)</t>
        </is>
      </c>
      <c r="C5" s="3" t="n">
        <v>165</v>
      </c>
      <c r="D5" s="3" t="n">
        <v>104.02</v>
      </c>
      <c r="E5" s="4" t="inlineStr">
        <is>
          <t>36.96%</t>
        </is>
      </c>
      <c r="F5" s="3" t="n">
        <v>103.12</v>
      </c>
      <c r="G5" s="5" t="n">
        <v>-0.9</v>
      </c>
      <c r="H5" s="6" t="n">
        <v>60</v>
      </c>
      <c r="I5" s="7" t="n">
        <v>-54</v>
      </c>
    </row>
    <row r="6" ht="18" customHeight="1">
      <c r="A6" s="2" t="inlineStr">
        <is>
          <t>1900416912</t>
        </is>
      </c>
      <c r="B6" s="2" t="inlineStr">
        <is>
          <t>CEL 1023 MAGENTA SZ-5X8-(60 PR)</t>
        </is>
      </c>
      <c r="C6" s="3" t="n">
        <v>120</v>
      </c>
      <c r="D6" s="3" t="n">
        <v>75.65000000000001</v>
      </c>
      <c r="E6" s="4" t="inlineStr">
        <is>
          <t>36.96%</t>
        </is>
      </c>
      <c r="F6" s="3" t="n">
        <v>75</v>
      </c>
      <c r="G6" s="5" t="n">
        <v>-0.65</v>
      </c>
      <c r="H6" s="6" t="n">
        <v>60</v>
      </c>
      <c r="I6" s="7" t="n">
        <v>-39</v>
      </c>
    </row>
    <row r="7" ht="22" customHeight="1">
      <c r="I7" s="8">
        <f>SUM(I2:I6)</f>
        <v/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2026-10-02T08:01:24Z</dcterms:created>
  <dcterms:modified xmlns:dcterms="http://purl.org/dc/terms/" xmlns:xsi="http://www.w3.org/2001/XMLSchema-instance" xsi:type="dcterms:W3CDTF">2026-10-02T08:01:24Z</dcterms:modified>
</cp:coreProperties>
</file>